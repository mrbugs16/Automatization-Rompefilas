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&amp; Métricas" sheetId="1" r:id="rId4"/>
    <sheet state="visible" name="Matriz Casos de Prueba Puebla" sheetId="2" r:id="rId5"/>
  </sheets>
  <definedNames>
    <definedName hidden="1" localSheetId="1" name="_xlnm._FilterDatabase">'Matriz Casos de Prueba Puebla'!$C$10:$V$76</definedName>
  </definedNames>
  <calcPr/>
  <extLst>
    <ext uri="GoogleSheetsCustomDataVersion2">
      <go:sheetsCustomData xmlns:go="http://customooxmlschemas.google.com/" r:id="rId6" roundtripDataChecksum="NCnQGewRLfVHTP7+DA+RtO+lfgo0Fmxt5b+b9mp430Q="/>
    </ext>
  </extLst>
</workbook>
</file>

<file path=xl/sharedStrings.xml><?xml version="1.0" encoding="utf-8"?>
<sst xmlns="http://schemas.openxmlformats.org/spreadsheetml/2006/main" count="1111" uniqueCount="468">
  <si>
    <t>Diseño y Ejecución de Casos de Prueba</t>
  </si>
  <si>
    <t>Nombre del Proyecto:</t>
  </si>
  <si>
    <t>Puebla - Rompefilas (Terminal T6)</t>
  </si>
  <si>
    <t>Creado por:</t>
  </si>
  <si>
    <t>QA</t>
  </si>
  <si>
    <t>Fecha:</t>
  </si>
  <si>
    <t>Casos de Prueba</t>
  </si>
  <si>
    <t>Ejecución</t>
  </si>
  <si>
    <t>Producto</t>
  </si>
  <si>
    <t>Módulo</t>
  </si>
  <si>
    <t>Escenario</t>
  </si>
  <si>
    <t>ID Caso</t>
  </si>
  <si>
    <t>Nombre del Caso de prueba</t>
  </si>
  <si>
    <t>Descripción del Caso de Prueba</t>
  </si>
  <si>
    <t>Pre condiciónes</t>
  </si>
  <si>
    <t>Pasos de Ejecución</t>
  </si>
  <si>
    <t>Resultado Esperado</t>
  </si>
  <si>
    <t>Prioridad</t>
  </si>
  <si>
    <t>Estatus Automatización</t>
  </si>
  <si>
    <t>Aplica</t>
  </si>
  <si>
    <t>Ambiente</t>
  </si>
  <si>
    <t>Tipo de Ejecución</t>
  </si>
  <si>
    <t>Tipo de Prueba</t>
  </si>
  <si>
    <t>Fecha Planeada</t>
  </si>
  <si>
    <t>Fecha de Ejecución</t>
  </si>
  <si>
    <t>Estatus</t>
  </si>
  <si>
    <t>Evidencia</t>
  </si>
  <si>
    <t>Observaciones</t>
  </si>
  <si>
    <t>Selecciona...</t>
  </si>
  <si>
    <t>General</t>
  </si>
  <si>
    <t>UI</t>
  </si>
  <si>
    <t>CP-GU-POS-001</t>
  </si>
  <si>
    <t>Integración versión en footer</t>
  </si>
  <si>
    <t>Validar que en el pie de la aplicación, se visualice la versión usada</t>
  </si>
  <si>
    <t>1. Usuario registrado
2. Versión generada</t>
  </si>
  <si>
    <t xml:space="preserve">1. Abrir lla app instalada
2. Confirmar la versión correcta
</t>
  </si>
  <si>
    <t>Se cuenta con el footer con la versión correcta</t>
  </si>
  <si>
    <t>Alta</t>
  </si>
  <si>
    <t>Sin automatizar</t>
  </si>
  <si>
    <t>No</t>
  </si>
  <si>
    <t>Manual</t>
  </si>
  <si>
    <t>Sin Ejecutar</t>
  </si>
  <si>
    <t>Rompefilas</t>
  </si>
  <si>
    <t>Visualización</t>
  </si>
  <si>
    <t>CP-ID-ROM-001</t>
  </si>
  <si>
    <t>Consulta con referencia de 16 dígitos válida (captura manual en T6)</t>
  </si>
  <si>
    <t>Validar: Consulta con referencia de 16 dígitos válida (captura manual en T6)</t>
  </si>
  <si>
    <t>App RompeFilas abierta en la T6. Contribuyente en fila con recibo que contiene referencia de 16 dígitos.
Datos de prueba:
Referencia: PU - 5001</t>
  </si>
  <si>
    <t>1. Tocar 'Toque para iniciar'.
2. Capturar los 16 dígitos con el teclado numérico en pantalla de la T6.
3. Presionar 'Consultar adeudos'.</t>
  </si>
  <si>
    <t>El teclado numérico se muestra completo sin ocultar el campo ni el botón 'Consultar adeudos'. El sistema muestra P2 con la lista de adeudos del contribuyente.</t>
  </si>
  <si>
    <t>Funcional</t>
  </si>
  <si>
    <t>CP-ID-ROM-002</t>
  </si>
  <si>
    <t>Consulta escaneando código de barras/QR con el lector/cámara de la T6</t>
  </si>
  <si>
    <t>Validar: Consulta escaneando código de barras/QR con el lector/cámara de la T6</t>
  </si>
  <si>
    <t>App en P1. Recibo físico con código de barras/QR legible. Luz ambiente normal.
Datos de prueba:
QR / Código de barras del recibo</t>
  </si>
  <si>
    <t>1. Tocar 'Toque para iniciar'.
2. Tocar 'Escanear' (si aplica) y apuntar el lector/cámara de la T6 al recibo.
3. Esperar lectura automática.</t>
  </si>
  <si>
    <t>La T6 captura la referencia en ≤ 3 s, emite confirmación (sonido/vibración) y avanza a P2 sin captura manual.</t>
  </si>
  <si>
    <t>Bloqueos</t>
  </si>
  <si>
    <t>CP-ID-ROM-003</t>
  </si>
  <si>
    <t>Referencia con menos de 16 dígitos</t>
  </si>
  <si>
    <t>Validar: Referencia con menos de 16 dígitos</t>
  </si>
  <si>
    <t>App en P1 (identificación).
Datos de prueba:
1234567890 (10 dígitos)</t>
  </si>
  <si>
    <t>1. Capturar 10 dígitos.
2. Presionar 'Consultar adeudos'.</t>
  </si>
  <si>
    <t>Se muestra el mensaje 'No se encontraron adeudos para esta referencia' (o validación de longitud) completo y legible en la pantalla de la T6.</t>
  </si>
  <si>
    <t>Media</t>
  </si>
  <si>
    <t>CP-ID-ROM-004</t>
  </si>
  <si>
    <t>Referencia de 16 dígitos que no existe en el padrón</t>
  </si>
  <si>
    <t>Validar: Referencia de 16 dígitos que no existe en el padrón</t>
  </si>
  <si>
    <t>App en P1 (identificación).
Datos de prueba:
0000000000000000</t>
  </si>
  <si>
    <t>1. Capturar 16 dígitos que no corresponden a ningún contribuyente.
2. Presionar 'Consultar adeudos'.</t>
  </si>
  <si>
    <t>Se muestra el mensaje 'No se encontraron adeudos para esta referencia'. La app permanece en P1 lista para un nuevo intento.</t>
  </si>
  <si>
    <t>CP-ID-ROM-005</t>
  </si>
  <si>
    <t>Código de barras/QR ilegible o dañado</t>
  </si>
  <si>
    <t>Validar: Código de barras/QR ilegible o dañado</t>
  </si>
  <si>
    <t>App en P1 con escaneo activo.
Datos de prueba:
Recibo físico dañado</t>
  </si>
  <si>
    <t>1. Apuntar el lector de la T6 a un recibo con código rayado/doblado.
2. Esperar 10 segundos.</t>
  </si>
  <si>
    <t>No se captura una referencia errónea. Al expirar el tiempo de escaneo se informa que no fue posible leer el código y se ofrece la captura manual. El lector/cámara se libera.</t>
  </si>
  <si>
    <t>CP-AD-ROM-001</t>
  </si>
  <si>
    <t>Selección de un adeudo individual</t>
  </si>
  <si>
    <t>Validar: Selección de un adeudo individual</t>
  </si>
  <si>
    <t>P2 visible con 4 adeudos (Predial Urbano, Recargos x2, Limpia).
Datos de prueba:
1 adeudo — $100.00</t>
  </si>
  <si>
    <t>1. Desplazar (scroll) la lista si es necesario.
2. Tocar la casilla 'PREDIAL URBANO $100.00'.
3. Verificar total actualizado.
4. Presionar 'Pagar ahora'.</t>
  </si>
  <si>
    <t>La lista es desplazable en la pantalla de la T6, los conceptos y montos no se truncan, el total se actualiza a $100.00 y avanza a P3.</t>
  </si>
  <si>
    <t>CP-AD-ROM-002</t>
  </si>
  <si>
    <t>Selección de todos los adeudos con 'Seleccionar todo'</t>
  </si>
  <si>
    <t>Validar: Selección de todos los adeudos con 'Seleccionar todo'</t>
  </si>
  <si>
    <t>P2 visible con 4 adeudos.
Datos de prueba:
4 adeudos — Total: $500.00</t>
  </si>
  <si>
    <t>1. Tocar 'Seleccionar todo'.
2. Verificar que los 4 adeudos queden marcados (incluyendo los que quedan fuera de la vista).
3. Presionar 'Pagar ahora'.</t>
  </si>
  <si>
    <t>Los 4 adeudos quedan marcados, el total = $500.00 MXN es correcto y visible, y avanza a P3.</t>
  </si>
  <si>
    <t>CP-AD-ROM-003</t>
  </si>
  <si>
    <t>Intentar avanzar sin seleccionar ningún adeudo</t>
  </si>
  <si>
    <t>Validar: Intentar avanzar sin seleccionar ningún adeudo</t>
  </si>
  <si>
    <t>P2 visible. Ninguna casilla marcada.
Datos de prueba:
0 adeudos — $0.00</t>
  </si>
  <si>
    <t>1. No tocar ningún adeudo.
2. Presionar 'Pagar ahora'.</t>
  </si>
  <si>
    <t>El botón 'Pagar ahora' está deshabilitado o se muestra aviso; no se avanza a P3.</t>
  </si>
  <si>
    <t>CP-AD-ROM-004</t>
  </si>
  <si>
    <t>Cambiar referencia desde P2 ('Cambiar referencia')</t>
  </si>
  <si>
    <t>Validar: Cambiar referencia desde P2 ('Cambiar referencia')</t>
  </si>
  <si>
    <t>P2 visible con adeudos cargados.
Datos de prueba:
Referencia nueva: 9999999999999999</t>
  </si>
  <si>
    <t>1. Presionar 'Cambiar referencia'.
2. Capturar una referencia inválida.
3. Presionar 'Consultar adeudos'.</t>
  </si>
  <si>
    <t>Se limpian los adeudos del contribuyente anterior y se muestra 'No se encontraron adeudos'.</t>
  </si>
  <si>
    <t>CP-MP-ROM-001</t>
  </si>
  <si>
    <t>Selección de método Tarjeta — cobro en la misma T6</t>
  </si>
  <si>
    <t>Validar: Selección de método Tarjeta — cobro en la misma T6</t>
  </si>
  <si>
    <t>P3 visible. 1 adeudo seleccionado ($100.00).
Datos de prueba:
Método: Tarjeta</t>
  </si>
  <si>
    <t>1. Tocar 'Tarjeta – Débito o crédito'.</t>
  </si>
  <si>
    <t>La app invoca el módulo de pago integrado de la T6 (sin terminal externa), muestra el monto $100.00 y la instrucción para insertar, deslizar o acercar la tarjeta.</t>
  </si>
  <si>
    <t>Tarjeta</t>
  </si>
  <si>
    <t>Transacciones</t>
  </si>
  <si>
    <t>CP-TJ-ROM-001</t>
  </si>
  <si>
    <t>Pago con tarjeta de débito con chip — aprobado</t>
  </si>
  <si>
    <t>Validar: Pago con tarjeta de débito con chip — aprobado</t>
  </si>
  <si>
    <t>Pantalla de cobro activa en la T6 con monto $100.00.
Datos de prueba:
Tarjeta débito Visa/Mastercard con fondos</t>
  </si>
  <si>
    <t>1. Insertar tarjeta de débito en el lector de chip de la T6.
2. Capturar NIP en la pantalla segura de la T6.
3. Confirmar.</t>
  </si>
  <si>
    <t>Transacción aprobada. Se regresa a la app y avanza a P5 con confirmación de pago y número de autorización.</t>
  </si>
  <si>
    <t>CP-TJ-ROM-002</t>
  </si>
  <si>
    <t>Tarjeta declinada (fondos insuficientes)</t>
  </si>
  <si>
    <t>Validar: Tarjeta declinada (fondos insuficientes)</t>
  </si>
  <si>
    <t>Pantalla de cobro activa en la T6.
Datos de prueba:
Tarjeta con saldo insuficiente</t>
  </si>
  <si>
    <t>1. Insertar tarjeta con saldo insuficiente.
2. Capturar NIP.</t>
  </si>
  <si>
    <t>Se muestra 'No se pudo procesar el pago' con opciones 'Intentar de nuevo' y 'Regresar al inicio'. No se registra el adeudo como pagado ni se imprime comprobante de pago.</t>
  </si>
  <si>
    <t>CP-TJ-ROM-003</t>
  </si>
  <si>
    <t>Tiempo de espera agotado al solicitar la tarjeta (timeout)</t>
  </si>
  <si>
    <t>Validar: Tiempo de espera agotado al solicitar la tarjeta (timeout)</t>
  </si>
  <si>
    <t>Pantalla de cobro activa. Nadie presenta tarjeta.
Datos de prueba:
Sin acción del usuario</t>
  </si>
  <si>
    <t>1. No insertar, deslizar ni acercar tarjeta.
2. Esperar a que expire el timeout.</t>
  </si>
  <si>
    <t>Al expirar (~45 s) se cancela la lectura y se muestra mensaje de tiempo agotado con opción de reintentar o cambiar referencia. No debe aparecer 'No se pudo conectar con la terminal', ya que la terminal es la misma T6.</t>
  </si>
  <si>
    <t>Impresión</t>
  </si>
  <si>
    <t>Impresión Fisica</t>
  </si>
  <si>
    <t>CP-RC-ROM-001</t>
  </si>
  <si>
    <t>Impresión del comprobante en la impresora térmica integrada de la T6</t>
  </si>
  <si>
    <t>Validar: Impresión del comprobante en la impresora térmica integrada de la T6</t>
  </si>
  <si>
    <t>Pago aprobado. Rollo de papel cargado en la T6.
Datos de prueba:
Pago $100 completado</t>
  </si>
  <si>
    <t>1. El sistema avanza a P5.
2. La impresora de la T6 genera el comprobante.
3. El operador corta y entrega el ticket.</t>
  </si>
  <si>
    <t>Comprobante con folio, fecha/hora, monto, referencia y sello del Gobierno de Puebla, ajustado al ancho del papel de la T6 (58 mm) sin cortes. La app regresa al inicio tras 30 s.</t>
  </si>
  <si>
    <t>CP-RC-ROM-002</t>
  </si>
  <si>
    <t>Comprobante tras pago con tarjeta (autorización y voucher)</t>
  </si>
  <si>
    <t>Validar: Comprobante tras pago con tarjeta (autorización y voucher)</t>
  </si>
  <si>
    <t>Pago con tarjeta aprobado. Papel disponible.
Datos de prueba:
Pago $100 con tarjeta</t>
  </si>
  <si>
    <t>1. Sistema avanza a P5.
2. Imprimir comprobante.
3. Revisar si se imprime voucher bancario y/o copia.</t>
  </si>
  <si>
    <t>El ticket incluye número de autorización, últimos 4 dígitos de la tarjeta (enmascarada), folio y datos del adeudo. Si aplica voucher bancario, se imprime en orden y sin solaparse con el comprobante.</t>
  </si>
  <si>
    <t>CP-RC-ROM-003</t>
  </si>
  <si>
    <t>Sin papel en la impresora de la T6 — pago ya realizado</t>
  </si>
  <si>
    <t>Validar: Sin papel en la impresora de la T6 — pago ya realizado</t>
  </si>
  <si>
    <t>Pago aprobado. T6 sin papel o con la tapa de la impresora abierta.
Datos de prueba:
Impresora sin papel / tapa abierta</t>
  </si>
  <si>
    <t>1. Completar un pago.
2. El sistema intenta imprimir.
3. Cargar papel / cerrar tapa.
4. Presionar 'Reimprimir'.</t>
  </si>
  <si>
    <t>Se muestra aviso de falta de papel. El pago queda registrado (no se pierde ni se revierte). Al cargar papel se permite imprimir el comprobante pendiente.</t>
  </si>
  <si>
    <t>CP-RC-ROM-004</t>
  </si>
  <si>
    <t>Comprobante no retirado — sesión expira</t>
  </si>
  <si>
    <t>Validar: Comprobante no retirado — sesión expira</t>
  </si>
  <si>
    <t>Comprobante impreso. Sin interacción.
Datos de prueba:
Sin interacción por 30+ s</t>
  </si>
  <si>
    <t>1. Dejar el ticket en la salida de la impresora.
2. No tocar la pantalla.
3. Esperar expiración de la sesión.</t>
  </si>
  <si>
    <t>La app muestra cuenta regresiva y regresa a la pantalla de inicio sin datos del contribuyente anterior.</t>
  </si>
  <si>
    <t>Baja</t>
  </si>
  <si>
    <t>CP-MP-ROM-002</t>
  </si>
  <si>
    <t>Efectivo no disponible en la T6</t>
  </si>
  <si>
    <t>Validar: Efectivo no disponible en la T6</t>
  </si>
  <si>
    <t>App en P3 en la T6.
Datos de prueba:
N/A</t>
  </si>
  <si>
    <t>1. Avanzar hasta P3.
2. Revisar los métodos de pago mostrados.</t>
  </si>
  <si>
    <t>La opción 'Efectivo' no se muestra (o aparece deshabilitada con leyenda). No es posible entrar a un flujo de efectivo desde la T6.</t>
  </si>
  <si>
    <t>CP-ES-ROM-001</t>
  </si>
  <si>
    <t>Inactividad — sesión expirada sin completar pago</t>
  </si>
  <si>
    <t>Validar: Inactividad — sesión expirada sin completar pago</t>
  </si>
  <si>
    <t>Sesión iniciada en P1 o P2 sin completar flujo.
Datos de prueba:
Inactividad total</t>
  </si>
  <si>
    <t>1. Iniciar sesión en P1.
2. No realizar acción por más de 2 minutos.</t>
  </si>
  <si>
    <t>Se muestra alerta con cuenta regresiva; si no hay interacción regresa al inicio, limpia la sesión y no registra cargos.</t>
  </si>
  <si>
    <t>CP-CX-ROM-001</t>
  </si>
  <si>
    <t>Cambio de red durante el procesamiento de tarjeta (Wi-Fi ↔ datos móviles / cambio de IP)</t>
  </si>
  <si>
    <t>Validar: Cambio de red durante el procesamiento de tarjeta (Wi-Fi ↔ datos móviles / cambio de IP)</t>
  </si>
  <si>
    <t>Pago con tarjeta en progreso. T6 con Wi-Fi y SIM de datos.
Datos de prueba:
Cambio de red / IP a mitad de transacción</t>
  </si>
  <si>
    <t>1. Iniciar pago con tarjeta.
2. Durante el procesamiento desactivar Wi-Fi para forzar el cambio a datos móviles (o cambiar de red).
3. Observar respuesta.</t>
  </si>
  <si>
    <t>La transacción concluye o se informa el error de forma controlada; nunca queda cobrado sin registro. Si concluye, el adeudo se marca pagado y se imprime comprobante.</t>
  </si>
  <si>
    <t>CP-RC-ROM-005</t>
  </si>
  <si>
    <t>Aviso al operador cuando la T6 detecta impresora sin papel</t>
  </si>
  <si>
    <t>Validar: Aviso al operador cuando la T6 detecta impresora sin papel</t>
  </si>
  <si>
    <t>T6 operativa. Rollo retirado antes de iniciar.
Datos de prueba:
Impresora sin papel</t>
  </si>
  <si>
    <t>1. Retirar el rollo de papel.
2. Iniciar un flujo de pago.
3. Verificar si el aviso aparece antes de cobrar.</t>
  </si>
  <si>
    <t>La app avisa la falta de papel preferentemente antes de cobrar, permitiendo al operador cargar papel. El aviso también se refleja en el panel de administración (si aplica).</t>
  </si>
  <si>
    <t>CP-RC-ROM-006</t>
  </si>
  <si>
    <t>Límite de reimpresión del comprobante (máx. 2 por transacción)</t>
  </si>
  <si>
    <t>Validar: Límite de reimpresión del comprobante (máx. 2 por transacción)</t>
  </si>
  <si>
    <t>Pago completado. Pantalla de recibo. Bug de campo TC-34 (Tótem).
Datos de prueba:
Pago completado</t>
  </si>
  <si>
    <t>1. Completar un pago.
2. Presionar 'Imprimir' repetidamente (5 o más veces).
3. Contar los tickets físicos.</t>
  </si>
  <si>
    <t>Máximo 2 impresiones por transacción. A partir de la 3.ª se deshabilita el botón o se muestra 'Límite de impresiones alcanzado (2/2)'.</t>
  </si>
  <si>
    <t>Regresión</t>
  </si>
  <si>
    <t>CP-RC-ROM-007</t>
  </si>
  <si>
    <t>Pantalla de confirmación sin estados redundantes ('Pago procesado' y 'Pago exitoso')</t>
  </si>
  <si>
    <t>Validar: Pantalla de confirmación sin estados redundantes ('Pago procesado' y 'Pago exitoso')</t>
  </si>
  <si>
    <t>Pago aprobado. Bug de campo TC-35 (Tótem).
Datos de prueba:
Pago aprobado</t>
  </si>
  <si>
    <t>1. Completar un pago.
2. Observar la pantalla al regresar del módulo de pago a la app.</t>
  </si>
  <si>
    <t>Solo se muestra el estado final 'Pago exitoso'. Sin textos duplicados ni pantallas intermedias visibles.</t>
  </si>
  <si>
    <t>CP-RC-ROM-008</t>
  </si>
  <si>
    <t>Ticket de infracción de tránsito sin información truncada (papel 58 mm)</t>
  </si>
  <si>
    <t>Validar: Ticket de infracción de tránsito sin información truncada (papel 58 mm)</t>
  </si>
  <si>
    <t>Pago de infracción de tránsito completado en T6. Bug de campo TC-36 (Tótem).
Datos de prueba:
COBRO INFRA EN MAT DE TRANSITO — 2 conceptos de $514.96 — Total $1,042.92</t>
  </si>
  <si>
    <t>1. Pagar infracción (Multa MPAL Seguridad Vial — ART. 275 INC. Z y ART. 304 FRAC. XIII).
2. Imprimir ticket.
3. Verificar descripción, artículo/fracción, periodo, importe, dependencia y vencimiento.</t>
  </si>
  <si>
    <t>Toda la información se imprime completa con salto de línea (word-wrap) en el ancho de la T6; ningún texto se corta. Dependencia 'Municipio de Puebla' y vencimiento 31/12/2026 legibles.</t>
  </si>
  <si>
    <t>CP-RC-ROM-009</t>
  </si>
  <si>
    <t>Ortografía correcta en el comprobante impreso</t>
  </si>
  <si>
    <t>Validar: Ortografía correcta en el comprobante impreso</t>
  </si>
  <si>
    <t>Comprobante impreso desde la T6. Bug de campo TC-37.
Datos de prueba:
Cualquier comprobante</t>
  </si>
  <si>
    <t>1. Realizar un pago.
2. Revisar encabezado, etiquetas, conceptos y acentos (á, é, í, ó, ú, ñ).</t>
  </si>
  <si>
    <t>Ortografía correcta y caracteres acentuados impresos correctamente (sin símbolos extraños por codificación de la impresora de la T6).</t>
  </si>
  <si>
    <t>CP-MP-ROM-003</t>
  </si>
  <si>
    <t>Ortografía en pantalla de método de pago ('Crédito y Débito', 'y más')</t>
  </si>
  <si>
    <t>Validar: Ortografía en pantalla de método de pago ('Crédito y Débito', 'y más')</t>
  </si>
  <si>
    <t>App en P3 en la T6. Bug de campo TC-38.
Datos de prueba:
Texto esperado: 'Crédito y Débito' / 'Visa, Mastercard y más'</t>
  </si>
  <si>
    <t>1. Avanzar a P3.
2. Revisar textos del botón de tarjeta.</t>
  </si>
  <si>
    <t>Los textos se muestran con acentos correctos y sin cortarse en la pantalla de la T6.</t>
  </si>
  <si>
    <t>CP-IN-ROM-001</t>
  </si>
  <si>
    <t>Arranque automático de la app al encender o reiniciar la T6</t>
  </si>
  <si>
    <t>Validar: Arranque automático de la app al encender o reiniciar la T6</t>
  </si>
  <si>
    <t>T6 apagada con la app RompeFilas instalada.
Datos de prueba:
N/A</t>
  </si>
  <si>
    <t>1. Encender la T6.
2. Esperar el arranque del sistema.</t>
  </si>
  <si>
    <t>La app RompeFilas se abre automáticamente en la pantalla de inicio sin intervención del operador.</t>
  </si>
  <si>
    <t>CP-IN-ROM-002</t>
  </si>
  <si>
    <t>Modo kiosco: el operador/usuario no puede salir de la app</t>
  </si>
  <si>
    <t>Validar: Modo kiosco: el operador/usuario no puede salir de la app</t>
  </si>
  <si>
    <t>App abierta en pantalla de inicio.
Datos de prueba:
N/A</t>
  </si>
  <si>
    <t>1. Presionar botones físicos/virtuales Inicio, Atrás y Recientes.
2. Deslizar la barra de notificaciones.</t>
  </si>
  <si>
    <t>La app permanece en primer plano; no se accede al escritorio, ajustes ni otras apps (salvo con credencial de administrador).</t>
  </si>
  <si>
    <t>CP-IN-ROM-003</t>
  </si>
  <si>
    <t>Inicio de sesión del operador RompeFilas (si aplica)</t>
  </si>
  <si>
    <t>Validar: Inicio de sesión del operador RompeFilas (si aplica)</t>
  </si>
  <si>
    <t>App en pantalla de acceso de operador.
Datos de prueba:
Credenciales de operador de pruebas</t>
  </si>
  <si>
    <t>1. Capturar usuario y contraseña de operador de pruebas.
2. Presionar 'Ingresar'.</t>
  </si>
  <si>
    <t>El operador accede, su identificador queda asociado a las transacciones del turno.</t>
  </si>
  <si>
    <t>CP-IN-ROM-004</t>
  </si>
  <si>
    <t>Inicio de sesión de operador con credenciales inválidas (si aplica)</t>
  </si>
  <si>
    <t>Validar: Inicio de sesión de operador con credenciales inválidas (si aplica)</t>
  </si>
  <si>
    <t>App en pantalla de acceso de operador.
Datos de prueba:
Credenciales inválidas</t>
  </si>
  <si>
    <t>1. Capturar contraseña incorrecta 3 veces.</t>
  </si>
  <si>
    <t>Se muestra mensaje de credenciales incorrectas; tras N intentos se bloquea temporalmente el acceso.</t>
  </si>
  <si>
    <t>CP-TJ-ROM-004</t>
  </si>
  <si>
    <t>Pago con tarjeta de crédito con chip — aprobado</t>
  </si>
  <si>
    <t>Validar: Pago con tarjeta de crédito con chip — aprobado</t>
  </si>
  <si>
    <t>Pantalla de cobro activa con monto $100.00.
Datos de prueba:
Tarjeta crédito Visa/Mastercard</t>
  </si>
  <si>
    <t>1. Insertar tarjeta de crédito.
2. Capturar NIP si se solicita.
3. Confirmar.</t>
  </si>
  <si>
    <t>Transacción aprobada, avanza a P5 con autorización; el ticket identifica 'Crédito'.</t>
  </si>
  <si>
    <t>CP-TJ-ROM-005</t>
  </si>
  <si>
    <t>Pago contactless (NFC) por debajo del límite sin NIP</t>
  </si>
  <si>
    <t>Validar: Pago contactless (NFC) por debajo del límite sin NIP</t>
  </si>
  <si>
    <t>Pantalla de cobro activa. Monto menor al límite contactless del adquirente.
Datos de prueba:
Tarjeta/Wallet NFC — $100.00</t>
  </si>
  <si>
    <t>1. Acercar tarjeta/teléfono con NFC a la zona contactless de la T6.</t>
  </si>
  <si>
    <t>Lectura en ≤ 2 s, aprobación sin NIP, avanza a P5.</t>
  </si>
  <si>
    <t>CP-TJ-ROM-006</t>
  </si>
  <si>
    <t>Pago contactless por encima del límite — solicita NIP</t>
  </si>
  <si>
    <t>Validar: Pago contactless por encima del límite — solicita NIP</t>
  </si>
  <si>
    <t>Pantalla de cobro activa. Monto mayor al límite contactless.
Datos de prueba:
Tarjeta NFC — monto alto (ej. $1,042.92)</t>
  </si>
  <si>
    <t>1. Acercar tarjeta NFC.
2. Capturar NIP cuando se solicite.</t>
  </si>
  <si>
    <t>La T6 solicita NIP o inserción de chip según reglas del adquirente y aprueba correctamente.</t>
  </si>
  <si>
    <t>CP-TJ-ROM-007</t>
  </si>
  <si>
    <t>Pago con banda magnética (fallback)</t>
  </si>
  <si>
    <t>Validar: Pago con banda magnética (fallback)</t>
  </si>
  <si>
    <t>Pantalla de cobro activa. Tarjeta sin chip o chip dañado.
Datos de prueba:
Tarjeta con banda magnética</t>
  </si>
  <si>
    <t>1. Deslizar la tarjeta por el lector de banda de la T6.
2. Firmar/confirmar si se solicita.</t>
  </si>
  <si>
    <t xml:space="preserve">Métricas Calidad QA                                                                                                                              </t>
  </si>
  <si>
    <t>La T6 procesa por banda (o indica usar chip si la tarjeta lo tiene) y el pago se completa.</t>
  </si>
  <si>
    <t>CP-TJ-ROM-008</t>
  </si>
  <si>
    <t>NIP incorrecto</t>
  </si>
  <si>
    <t>Validar: NIP incorrecto</t>
  </si>
  <si>
    <t>Pantalla de cobro activa.
Datos de prueba:
NIP erróneo</t>
  </si>
  <si>
    <t>1. Insertar tarjeta.
2. Capturar NIP incorrecto.</t>
  </si>
  <si>
    <t>Se muestra 'NIP incorrecto' con opción de reintentar; no se registra el pago.</t>
  </si>
  <si>
    <t>Metricas de Ejecución</t>
  </si>
  <si>
    <t>CP-TJ-ROM-009</t>
  </si>
  <si>
    <t>NIP incorrecto en intentos máximos</t>
  </si>
  <si>
    <t>Validar: NIP incorrecto en intentos máximos</t>
  </si>
  <si>
    <t>Pantalla de cobro activa.
Datos de prueba:
NIP erróneo x3</t>
  </si>
  <si>
    <t>1. Capturar NIP incorrecto en el número máximo de intentos.</t>
  </si>
  <si>
    <t>La transacción se declina, se informa al usuario y la app permite elegir otra tarjeta o regresar al inicio.</t>
  </si>
  <si>
    <t>CP-TJ-ROM-010</t>
  </si>
  <si>
    <t>Retiro prematuro de la tarjeta durante el procesamiento</t>
  </si>
  <si>
    <t>Validar: Retiro prematuro de la tarjeta durante el procesamiento</t>
  </si>
  <si>
    <t>Pago con chip en curso.
Datos de prueba:
Tarjeta retirada a mitad de transacción</t>
  </si>
  <si>
    <t>1. Insertar tarjeta.
2. Retirarla antes de que termine el procesamiento.</t>
  </si>
  <si>
    <t>La transacción se cancela o revierte; no queda cargo ni adeudo marcado como pagado; se informa al usuario.</t>
  </si>
  <si>
    <t>CP-TJ-ROM-011</t>
  </si>
  <si>
    <t>Tarjeta no soportada (marca no aceptada / vales / tarjeta vencida)</t>
  </si>
  <si>
    <t>Validar: Tarjeta no soportada (marca no aceptada / vales / tarjeta vencida)</t>
  </si>
  <si>
    <t>Pantalla de cobro activa.
Datos de prueba:
Tarjeta no soportada / vencida</t>
  </si>
  <si>
    <t>1. Presentar una tarjeta de marca no aceptada o vencida.</t>
  </si>
  <si>
    <t>Mensaje claro de tarjeta no aceptada; opción de usar otra tarjeta.</t>
  </si>
  <si>
    <t>CP-TJ-ROM-012</t>
  </si>
  <si>
    <t>Cancelar el cobro desde la pantalla de la T6 antes de presentar tarjeta</t>
  </si>
  <si>
    <t>Validar: Cancelar el cobro desde la pantalla de la T6 antes de presentar tarjeta</t>
  </si>
  <si>
    <t>Pantalla de cobro activa.
Datos de prueba:
Cancelación por el usuario/operador</t>
  </si>
  <si>
    <t>1. Presionar 'Cancelar' en la pantalla de cobro.</t>
  </si>
  <si>
    <t>Se cancela la lectura, se regresa a P3/P2 sin cargo y el lector queda disponible para un nuevo cobro.</t>
  </si>
  <si>
    <t>CP-HW-ROM-001</t>
  </si>
  <si>
    <t>Aviso de batería baja antes de iniciar un cobro</t>
  </si>
  <si>
    <t>Validar: Aviso de batería baja antes de iniciar un cobro</t>
  </si>
  <si>
    <t>T6 con batería ≤ 15 %.
Datos de prueba:
Batería ≤ 15 %</t>
  </si>
  <si>
    <t>1. Iniciar un flujo de pago con batería baja.</t>
  </si>
  <si>
    <t>La app avisa batería baja y recomienda cargar antes de cobrar; no se interrumpe una transacción en curso.</t>
  </si>
  <si>
    <t>Total de Casos Sprint</t>
  </si>
  <si>
    <t>CP-HW-ROM-002</t>
  </si>
  <si>
    <t>Apagado de la T6 (batería agotada / reinicio) durante una transacción</t>
  </si>
  <si>
    <t>Validar: Apagado de la T6 (batería agotada / reinicio) durante una transacción</t>
  </si>
  <si>
    <t>Pago con tarjeta en procesamiento.
Datos de prueba:
Corte de energía a mitad de cobro</t>
  </si>
  <si>
    <t>1. Apagar o reiniciar la T6 justo después de presentar la tarjeta.
2. Encender la T6 y abrir la app.
3. Consultar la misma referencia.</t>
  </si>
  <si>
    <t>Al reiniciar la app concilia la transacción: si fue aprobada, el adeudo aparece pagado y se puede reimprimir el comprobante; si no, no existe cargo. Nunca hay doble cobro.</t>
  </si>
  <si>
    <t>CP-HW-ROM-003</t>
  </si>
  <si>
    <t>Operación mientras la T6 está cargando</t>
  </si>
  <si>
    <t>Validar: Operación mientras la T6 está cargando</t>
  </si>
  <si>
    <t>T6 conectada al cargador/base.
Datos de prueba:
N/A</t>
  </si>
  <si>
    <t>1. Realizar un pago completo con la T6 conectada.</t>
  </si>
  <si>
    <t>El flujo de pago e impresión funciona con normalidad mientras carga.</t>
  </si>
  <si>
    <t>Total de Casos Pasados</t>
  </si>
  <si>
    <t>CP-HW-ROM-004</t>
  </si>
  <si>
    <t>Escaneo de QR/código en exterior con luz solar directa y con poca luz</t>
  </si>
  <si>
    <t>Validar: Escaneo de QR/código en exterior con luz solar directa y con poca luz</t>
  </si>
  <si>
    <t>Total de Casos Fallados</t>
  </si>
  <si>
    <t>T6 en exterior (fila al aire libre) / ambiente con poca iluminación.
Datos de prueba:
Recibo con QR legible</t>
  </si>
  <si>
    <t>1. Escanear el recibo bajo luz solar directa.
2. Repetir en ambiente con poca luz (usar linterna si la app la ofrece).</t>
  </si>
  <si>
    <t>La lectura se logra en ≤ 5 s en ambas condiciones; registrar número de intentos.</t>
  </si>
  <si>
    <t>CP-HW-ROM-005</t>
  </si>
  <si>
    <t>Total de Casos Bloqueados</t>
  </si>
  <si>
    <t>Legibilidad de pantalla en exterior</t>
  </si>
  <si>
    <t>Validar: Legibilidad de pantalla en exterior</t>
  </si>
  <si>
    <t>T6 en exterior con brillo automático.
Datos de prueba:
N/A</t>
  </si>
  <si>
    <t>1. Recorrer P1 a P5 en exterior.</t>
  </si>
  <si>
    <t>Textos, montos y botones son legibles a la luz del día; contraste suficiente.</t>
  </si>
  <si>
    <t>Total de Casos sin Ejecutar</t>
  </si>
  <si>
    <t>CP-HW-ROM-006</t>
  </si>
  <si>
    <t>Diseño adaptado a la resolución de la T6 (sin cortes ni desbordes)</t>
  </si>
  <si>
    <t>Validar: Diseño adaptado a la resolución de la T6 (sin cortes ni desbordes)</t>
  </si>
  <si>
    <t>App instalada en la T6.
Datos de prueba:
Referencia con conceptos de nombre largo</t>
  </si>
  <si>
    <t>1. Recorrer todas las pantallas (inicio, P1–P5, mensajes de error).
2. Revisar textos largos, botones y modales.</t>
  </si>
  <si>
    <t>Ningún texto o botón se corta o sale de pantalla; botones táctiles con tamaño suficiente (≥ 48 dp); orientación fija vertical.</t>
  </si>
  <si>
    <t>*La fecha sprint considera valores del dia Actual</t>
  </si>
  <si>
    <t>CP-HW-ROM-007</t>
  </si>
  <si>
    <t>Impresión continua de tickets (sobrecalentamiento del cabezal)</t>
  </si>
  <si>
    <t>Validar: Impresión continua de tickets (sobrecalentamiento del cabezal)</t>
  </si>
  <si>
    <t>T6 con rollo completo.
Datos de prueba:
20 transacciones</t>
  </si>
  <si>
    <t>1. Realizar 20 pagos consecutivos con impresión.</t>
  </si>
  <si>
    <t>Todos los tickets salen legibles; si la impresora se calienta, se informa y se reanuda sin perder comprobantes.</t>
  </si>
  <si>
    <t>CP-HW-ROM-008</t>
  </si>
  <si>
    <t>QR del comprobante escaneable y proporcional en papel de 58 mm</t>
  </si>
  <si>
    <t>Validar: QR del comprobante escaneable y proporcional en papel de 58 mm</t>
  </si>
  <si>
    <t>Comprobante impreso en T6.
Datos de prueba:
Ticket impreso</t>
  </si>
  <si>
    <t>1. Imprimir comprobante.
2. Escanear el QR del ticket con un teléfono.</t>
  </si>
  <si>
    <t>El QR ocupa el espacio asignado (no desproporcionado, ver TC-32) y es legible por un lector estándar.</t>
  </si>
  <si>
    <t>CP-HW-ROM-009</t>
  </si>
  <si>
    <t>Retroalimentación sonora/vibración en escaneo y aprobación</t>
  </si>
  <si>
    <t>Validar: Retroalimentación sonora/vibración en escaneo y aprobación</t>
  </si>
  <si>
    <t>Volumen del equipo activo.
Datos de prueba:
N/A</t>
  </si>
  <si>
    <t>1. Escanear un recibo.
2. Completar un pago.</t>
  </si>
  <si>
    <t>La T6 emite sonido o vibración al leer el código y al aprobar/declinar el pago.</t>
  </si>
  <si>
    <t>Total de Casos Manuales</t>
  </si>
  <si>
    <t>CP-CX-ROM-002</t>
  </si>
  <si>
    <t>Sin conexión al consultar adeudos</t>
  </si>
  <si>
    <t>Validar: Sin conexión al consultar adeudos</t>
  </si>
  <si>
    <t>T6 sin Wi-Fi ni datos móviles.
Datos de prueba:
Referencia válida, sin red</t>
  </si>
  <si>
    <t>1. Capturar referencia válida.
2. Presionar 'Consultar adeudos'.</t>
  </si>
  <si>
    <t>Mensaje 'Sin conexión, verifique la red' (no 'no se encontraron adeudos'); al recuperar la red se puede reintentar.</t>
  </si>
  <si>
    <t>CP-CX-ROM-003</t>
  </si>
  <si>
    <t>Pérdida de red después de la aprobación bancaria y antes de registrar el pago</t>
  </si>
  <si>
    <t>Validar: Pérdida de red después de la aprobación bancaria y antes de registrar el pago</t>
  </si>
  <si>
    <t>Pago aprobado por el banco; se corta la red antes de confirmar al sistema del Gobierno.
Datos de prueba:
Aprobación sin registro en backend</t>
  </si>
  <si>
    <t>1. Presentar tarjeta.
2. Al recibir aprobación, desactivar red.
3. Restablecer la red y observar.</t>
  </si>
  <si>
    <t>La app reintenta el registro o ejecuta reverso automático; el contribuyente no queda cobrado sin pago registrado y se informa al operador.</t>
  </si>
  <si>
    <t>CP-CX-ROM-004</t>
  </si>
  <si>
    <t>Operación con señal débil / alta latencia (3G o Wi-Fi saturado)</t>
  </si>
  <si>
    <t>Validar: Operación con señal débil / alta latencia (3G o Wi-Fi saturado)</t>
  </si>
  <si>
    <t>T6 con red de baja calidad.
Datos de prueba:
Red lenta</t>
  </si>
  <si>
    <t>1. Realizar un flujo completo de pago.
2. Medir tiempos de consulta y aprobación.</t>
  </si>
  <si>
    <t>Se muestran indicadores de carga; no hay pantallas congeladas; los timeouts se manejan con mensaje y opción de reintentar.</t>
  </si>
  <si>
    <t>CP-CX-ROM-005</t>
  </si>
  <si>
    <t>Movilidad del operador entre puntos de acceso Wi-Fi a lo largo de la fila</t>
  </si>
  <si>
    <t>Validar: Movilidad del operador entre puntos de acceso Wi-Fi a lo largo de la fila</t>
  </si>
  <si>
    <t>Varias antenas Wi-Fi en el sitio.
Datos de prueba:
Roaming Wi-Fi</t>
  </si>
  <si>
    <t>1. Iniciar flujo en un extremo de la fila.
2. Caminar hasta otra zona de cobertura mientras se consulta/cobra.</t>
  </si>
  <si>
    <t>Casos Manuales Ejecutados</t>
  </si>
  <si>
    <t>La sesión se mantiene y el pago se completa sin duplicados.</t>
  </si>
  <si>
    <t>CP-IC-ROM-001</t>
  </si>
  <si>
    <t>Misma referencia pagada simultáneamente en Tótem y T6</t>
  </si>
  <si>
    <t>Validar: Misma referencia pagada simultáneamente en Tótem y T6</t>
  </si>
  <si>
    <t>Misma referencia abierta en Tótem/Kiosco y en la T6.
Datos de prueba:
Referencia compartida</t>
  </si>
  <si>
    <t>1. Seleccionar el mismo adeudo en ambos dispositivos.
2. Pagar primero en el Tótem.
3. Intentar pagar en la T6.</t>
  </si>
  <si>
    <t>La T6 detecta que el adeudo ya fue pagado (validación previa al cobro) y no realiza un segundo cargo.</t>
  </si>
  <si>
    <t>Porcentaje de Paso (Pass Rate)</t>
  </si>
  <si>
    <t>CP-IC-ROM-002</t>
  </si>
  <si>
    <t>Doble toque en 'Pagar ahora' / botón de cobro</t>
  </si>
  <si>
    <t>Validar: Doble toque en 'Pagar ahora' / botón de cobro</t>
  </si>
  <si>
    <t>P2/P3 con adeudo seleccionado.
Datos de prueba:
Doble toque</t>
  </si>
  <si>
    <t>1. Tocar dos veces rápido 'Pagar ahora' y el botón de tarjeta.</t>
  </si>
  <si>
    <t>Solo se genera una solicitud de cobro y un solo cargo.</t>
  </si>
  <si>
    <t>Resultado de Ejecución de Pruebas Manuales</t>
  </si>
  <si>
    <t>CP-IC-ROM-003</t>
  </si>
  <si>
    <t>Consulta de referencia ya pagada</t>
  </si>
  <si>
    <t>Validar: Consulta de referencia ya pagada</t>
  </si>
  <si>
    <t>Referencia pagada previamente en la T6.
Datos de prueba:
Referencia pagada</t>
  </si>
  <si>
    <t>1. Consultar la referencia nuevamente.</t>
  </si>
  <si>
    <t>Los adeudos pagados ya no aparecen como pendientes (o se muestran como pagados).</t>
  </si>
  <si>
    <t>CP-CC-ROM-001</t>
  </si>
  <si>
    <t>Corte / cierre de lote al final del turno</t>
  </si>
  <si>
    <t>Validar: Corte / cierre de lote al final del turno</t>
  </si>
  <si>
    <t>Operador con varias transacciones en el turno.
Datos de prueba:
Turno con ≥ 5 pagos (aprobados y declinados)</t>
  </si>
  <si>
    <t>1. Entrar a 'Corte de caja' o 'Cierre de lote'.
2. Generar el reporte.
3. Comparar contra la lista de transacciones.</t>
  </si>
  <si>
    <t>El reporte muestra número de operaciones y totales que cuadran con lo cobrado; se imprime el ticket de corte.</t>
  </si>
  <si>
    <t>Estado</t>
  </si>
  <si>
    <t>Cantidad</t>
  </si>
  <si>
    <t>CP-CC-ROM-002</t>
  </si>
  <si>
    <t>Reimpresión desde el historial de transacciones</t>
  </si>
  <si>
    <t>Validar: Reimpresión desde el historial de transacciones</t>
  </si>
  <si>
    <t>Transacción del día con comprobante impreso 1 vez.
Datos de prueba:
Transacción del día</t>
  </si>
  <si>
    <t>1. Abrir historial.
2. Seleccionar la transacción.
3. Reimprimir.</t>
  </si>
  <si>
    <t>Se reimprime marcado como 'COPIA' respetando el límite de 2 impresiones (TC-34).</t>
  </si>
  <si>
    <t>Pasó</t>
  </si>
  <si>
    <t>CP-CC-ROM-003</t>
  </si>
  <si>
    <t>Cancelación (void) de una transacción del día por supervisor (si aplica)</t>
  </si>
  <si>
    <t>Validar: Cancelación (void) de una transacción del día por supervisor (si aplica)</t>
  </si>
  <si>
    <t>Transacción aprobada del día.
Datos de prueba:
Transacción aprobada</t>
  </si>
  <si>
    <t>1. Seleccionar la transacción.
2. Solicitar cancelación con credencial de supervisor.</t>
  </si>
  <si>
    <t>Se cancela el cargo, el adeudo regresa a pendiente y se imprime comprobante de cancelación. Sin credencial no se permite.</t>
  </si>
  <si>
    <t>Falló</t>
  </si>
  <si>
    <t>CP-CC-ROM-004</t>
  </si>
  <si>
    <t>Notificaciones o eventos del sistema Android durante el cobro</t>
  </si>
  <si>
    <t>Validar: Notificaciones o eventos del sistema Android durante el cobro</t>
  </si>
  <si>
    <t>Pago en curso.
Datos de prueba:
Evento del sistema</t>
  </si>
  <si>
    <t>1. Generar una notificación del sistema (SMS, alerta de batería, actualización).</t>
  </si>
  <si>
    <t>El flujo de pago no se interrumpe ni pierde la transacción.</t>
  </si>
  <si>
    <t>Bloqueado</t>
  </si>
  <si>
    <t>CP-CC-ROM-005</t>
  </si>
  <si>
    <t>Actualización de la app (OTA) no se aplica durante una transacción</t>
  </si>
  <si>
    <t>Validar: Actualización de la app (OTA) no se aplica durante una transacción</t>
  </si>
  <si>
    <t>Actualización pendiente publicada.
Datos de prueba:
Nueva versión disponible</t>
  </si>
  <si>
    <t>1. Iniciar un pago.
2. Forzar la descarga de la actualización.</t>
  </si>
  <si>
    <t>La actualización se aplica solo con la app en reposo; la transacción concluye sin afectación.</t>
  </si>
  <si>
    <t>CP-CC-ROM-006</t>
  </si>
  <si>
    <t>Fecha y hora correctas en comprobante y corte</t>
  </si>
  <si>
    <t>Validar: Fecha y hora correctas en comprobante y corte</t>
  </si>
  <si>
    <t>T6 con sincronización automática de hora.
Datos de prueba:
N/A</t>
  </si>
  <si>
    <t>1. Realizar un pago.
2. Comparar la hora del ticket con la hora oficial.</t>
  </si>
  <si>
    <t>La fecha/hora del ticket coincide con la hora oficial del centro (zona horaria de Puebla).</t>
  </si>
  <si>
    <t>CP-SG-ROM-001</t>
  </si>
  <si>
    <t>Datos de tarjeta enmascarados en pantalla, ticket y logs</t>
  </si>
  <si>
    <t>Validar: Datos de tarjeta enmascarados en pantalla, ticket y logs</t>
  </si>
  <si>
    <t>Pago con tarjeta completado.
Datos de prueba:
Tarjeta de prueba</t>
  </si>
  <si>
    <t>1. Revisar pantalla P5, ticket y logs de la app.</t>
  </si>
  <si>
    <t>Solo se muestran los últimos 4 dígitos; no se almacenan NIP, CVV ni número completo.</t>
  </si>
  <si>
    <t>CP-SG-ROM-002</t>
  </si>
  <si>
    <t>Captura de NIP en pantalla segura del equipo</t>
  </si>
  <si>
    <t>Validar: Captura de NIP en pantalla segura del equipo</t>
  </si>
  <si>
    <t>Cobro que requiere NIP.
Datos de prueba:
N/A</t>
  </si>
  <si>
    <t>1. Presentar tarjeta.
2. Observar la pantalla de NIP.</t>
  </si>
  <si>
    <t>El NIP se captura en la pantalla segura del módulo de pago (teclado aleatorio si aplica), oculto con asteriscos y sin capturas de pantalla posibles.</t>
  </si>
  <si>
    <t>CP-SG-ROM-003</t>
  </si>
  <si>
    <t>Limpieza de datos del contribuyente entre atenciones</t>
  </si>
  <si>
    <t>Validar: Limpieza de datos del contribuyente entre atenciones</t>
  </si>
  <si>
    <t>Pago completado del contribuyente A.
Datos de prueba:
Contribuyente A y B</t>
  </si>
  <si>
    <t>1. Regresar al inicio.
2. Iniciar una nueva atención.</t>
  </si>
  <si>
    <t>No queda ningún dato del contribuyente A (referencia, adeudos, montos) visible para B.</t>
  </si>
  <si>
    <t>CP-ES-ROM-002</t>
  </si>
  <si>
    <t>Tiempo total de atención por contribuyente (rompefilas)</t>
  </si>
  <si>
    <t>Validar: Tiempo total de atención por contribuyente (rompefilas)</t>
  </si>
  <si>
    <t>T6 operativa con red estable.
Datos de prueba:
Flujo completo</t>
  </si>
  <si>
    <t>1. Medir desde 'Toque para iniciar' hasta entrega del ticket con escaneo de QR y pago contactless.</t>
  </si>
  <si>
    <t>Tiempo total ≤ 90 s por contribuyente (objetivo propuesto, ajustar según negocio).</t>
  </si>
  <si>
    <t>Total de TC´s Ejecutados:</t>
  </si>
  <si>
    <t>Automatizado</t>
  </si>
  <si>
    <t>Total Pasó:</t>
  </si>
  <si>
    <t>Total Falló:</t>
  </si>
  <si>
    <t>Total Bloqueados:</t>
  </si>
  <si>
    <t>Total Ejecutados:</t>
  </si>
  <si>
    <t>Pass Rate:</t>
  </si>
  <si>
    <t>* No eliminar ni modificar Columna B
* Los montos y porcentajes se calculan en base a la ejecución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</si>
</sst>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9">
    <font>
      <sz val="10.0"/>
      <color rgb="FF000000"/>
      <name val="Arial"/>
      <scheme val="minor"/>
    </font>
    <font>
      <b/>
      <sz val="10.0"/>
      <color rgb="FF1F497D"/>
      <name val="Arial"/>
    </font>
    <font>
      <b/>
      <sz val="10.0"/>
      <color rgb="FFFF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34.0"/>
      <color rgb="FFFFFFFF"/>
      <name val="Quattrocento Sans"/>
    </font>
    <font/>
    <font>
      <sz val="34.0"/>
      <color rgb="FFFFFFFF"/>
      <name val="Quattrocento Sans"/>
    </font>
    <font>
      <sz val="10.0"/>
      <color rgb="FFFF0000"/>
      <name val="Arial"/>
    </font>
    <font>
      <b/>
      <sz val="10.0"/>
      <color rgb="FFFFFFFF"/>
      <name val="Quattrocento Sans"/>
    </font>
    <font>
      <sz val="10.0"/>
      <color rgb="FF000000"/>
      <name val="Quattrocento Sans"/>
    </font>
    <font>
      <b/>
      <sz val="10.0"/>
      <color rgb="FFFFFFFF"/>
      <name val="Arial"/>
    </font>
    <font>
      <sz val="10.0"/>
      <color rgb="FFFF0000"/>
      <name val="Quattrocento Sans"/>
    </font>
    <font>
      <sz val="10.0"/>
      <color theme="1"/>
      <name val="Quattrocento Sans"/>
    </font>
    <font>
      <b/>
      <sz val="11.0"/>
      <color rgb="FFFFFFFF"/>
      <name val="Quattrocento Sans"/>
    </font>
    <font>
      <b/>
      <sz val="10.0"/>
      <color theme="1"/>
      <name val="Quattrocento Sans"/>
    </font>
    <font>
      <sz val="9.0"/>
      <color theme="1"/>
      <name val="Arial"/>
    </font>
    <font>
      <b/>
      <sz val="12.0"/>
      <color rgb="FF1F497D"/>
      <name val="Quattrocento Sans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E1F2"/>
        <bgColor rgb="FFD9E1F2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61C00"/>
        <bgColor rgb="FFA61C00"/>
      </patternFill>
    </fill>
  </fills>
  <borders count="3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 style="thin">
        <color rgb="FF0C343D"/>
      </right>
      <top/>
      <bottom/>
    </border>
    <border>
      <left/>
      <right style="thin">
        <color rgb="FF0C343D"/>
      </right>
      <top/>
      <bottom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D9D9D9"/>
      </right>
      <top style="thick">
        <color rgb="FF000000"/>
      </top>
      <bottom style="thick">
        <color rgb="FF000000"/>
      </bottom>
    </border>
    <border>
      <left style="thin">
        <color rgb="FFD9D9D9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right style="thick">
        <color rgb="FF000000"/>
      </right>
      <top style="thick">
        <color rgb="FF000000"/>
      </top>
      <bottom style="thin">
        <color rgb="FFD9D9D9"/>
      </bottom>
    </border>
    <border>
      <right style="thick">
        <color rgb="FF000000"/>
      </right>
      <top style="thin">
        <color rgb="FFD9D9D9"/>
      </top>
      <bottom style="thin">
        <color rgb="FFD9D9D9"/>
      </bottom>
    </border>
    <border>
      <left style="thick">
        <color rgb="FF000000"/>
      </left>
      <right/>
      <top/>
      <bottom style="thick">
        <color rgb="FF000000"/>
      </bottom>
    </border>
    <border>
      <right style="thick">
        <color rgb="FF000000"/>
      </right>
      <top style="thin">
        <color rgb="FFD9D9D9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vertical="center"/>
    </xf>
    <xf borderId="2" fillId="2" fontId="5" numFmtId="0" xfId="0" applyAlignment="1" applyBorder="1" applyFill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2" fontId="7" numFmtId="0" xfId="0" applyAlignment="1" applyBorder="1" applyFill="1" applyFont="1">
      <alignment horizontal="left" shrinkToFit="0" vertical="center" wrapText="1"/>
    </xf>
    <xf borderId="1" fillId="2" fontId="7" numFmtId="0" xfId="0" applyAlignment="1" applyBorder="1" applyFill="1" applyFont="1">
      <alignment horizontal="center" vertical="center"/>
    </xf>
    <xf borderId="1" fillId="2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1" fillId="2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10" numFmtId="164" xfId="0" applyAlignment="1" applyFont="1" applyNumberForma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3" fontId="8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5" fillId="2" fontId="11" numFmtId="0" xfId="0" applyAlignment="1" applyBorder="1" applyFill="1" applyFont="1">
      <alignment horizontal="center" vertical="center"/>
    </xf>
    <xf borderId="6" fillId="0" fontId="6" numFmtId="0" xfId="0" applyBorder="1" applyFont="1"/>
    <xf borderId="7" fillId="0" fontId="6" numFmtId="0" xfId="0" applyBorder="1" applyFont="1"/>
    <xf borderId="1" fillId="3" fontId="11" numFmtId="0" xfId="0" applyAlignment="1" applyBorder="1" applyFill="1" applyFont="1">
      <alignment horizontal="center" shrinkToFit="0" vertical="center" wrapText="1"/>
    </xf>
    <xf borderId="8" fillId="2" fontId="11" numFmtId="0" xfId="0" applyAlignment="1" applyBorder="1" applyFill="1" applyFont="1">
      <alignment horizontal="center" shrinkToFit="0" vertical="center" wrapText="1"/>
    </xf>
    <xf borderId="1" fillId="2" fontId="11" numFmtId="0" xfId="0" applyAlignment="1" applyBorder="1" applyFill="1" applyFont="1">
      <alignment horizontal="center" shrinkToFit="0" vertical="center" wrapText="1"/>
    </xf>
    <xf borderId="1" fillId="2" fontId="11" numFmtId="0" xfId="0" applyAlignment="1" applyBorder="1" applyFill="1" applyFont="1">
      <alignment horizontal="left" shrinkToFit="0" vertical="center" wrapText="1"/>
    </xf>
    <xf borderId="9" fillId="2" fontId="11" numFmtId="0" xfId="0" applyAlignment="1" applyBorder="1" applyFill="1" applyFont="1">
      <alignment horizontal="center" shrinkToFit="0" vertical="center" wrapText="1"/>
    </xf>
    <xf borderId="10" fillId="2" fontId="11" numFmtId="0" xfId="0" applyAlignment="1" applyBorder="1" applyFill="1" applyFont="1">
      <alignment horizontal="center" shrinkToFit="0" vertical="center" wrapText="1"/>
    </xf>
    <xf borderId="11" fillId="2" fontId="11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4" fontId="4" numFmtId="0" xfId="0" applyAlignment="1" applyBorder="1" applyFill="1" applyFont="1">
      <alignment vertical="center"/>
    </xf>
    <xf borderId="1" fillId="4" fontId="12" numFmtId="0" xfId="0" applyAlignment="1" applyBorder="1" applyFill="1" applyFont="1">
      <alignment shrinkToFit="0" vertical="center" wrapText="1"/>
    </xf>
    <xf borderId="12" fillId="0" fontId="13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shrinkToFit="0" vertical="center" wrapText="1"/>
    </xf>
    <xf borderId="13" fillId="4" fontId="13" numFmtId="0" xfId="0" applyAlignment="1" applyBorder="1" applyFill="1" applyFont="1">
      <alignment horizontal="center" vertical="center"/>
    </xf>
    <xf borderId="13" fillId="4" fontId="13" numFmtId="0" xfId="0" applyAlignment="1" applyBorder="1" applyFill="1" applyFont="1">
      <alignment horizontal="left" shrinkToFit="0" vertical="center" wrapText="1"/>
    </xf>
    <xf borderId="13" fillId="4" fontId="13" numFmtId="0" xfId="0" applyAlignment="1" applyBorder="1" applyFill="1" applyFont="1">
      <alignment horizontal="left" vertical="center"/>
    </xf>
    <xf borderId="13" fillId="0" fontId="13" numFmtId="0" xfId="0" applyAlignment="1" applyBorder="1" applyFont="1">
      <alignment horizontal="center" vertical="center"/>
    </xf>
    <xf borderId="14" fillId="4" fontId="13" numFmtId="0" xfId="0" applyAlignment="1" applyBorder="1" applyFill="1" applyFont="1">
      <alignment vertical="center"/>
    </xf>
    <xf borderId="12" fillId="4" fontId="13" numFmtId="0" xfId="0" applyAlignment="1" applyBorder="1" applyFill="1" applyFont="1">
      <alignment horizontal="center" vertical="center"/>
    </xf>
    <xf borderId="13" fillId="4" fontId="4" numFmtId="0" xfId="0" applyAlignment="1" applyBorder="1" applyFill="1" applyFont="1">
      <alignment vertical="center"/>
    </xf>
    <xf borderId="13" fillId="5" fontId="4" numFmtId="0" xfId="0" applyAlignment="1" applyBorder="1" applyFill="1" applyFont="1">
      <alignment horizontal="center" vertical="center"/>
    </xf>
    <xf borderId="14" fillId="4" fontId="4" numFmtId="0" xfId="0" applyAlignment="1" applyBorder="1" applyFill="1" applyFont="1">
      <alignment vertical="center"/>
    </xf>
    <xf borderId="13" fillId="5" fontId="4" numFmtId="14" xfId="0" applyAlignment="1" applyBorder="1" applyFill="1" applyFont="1" applyNumberFormat="1">
      <alignment horizontal="center" vertical="center"/>
    </xf>
    <xf borderId="0" fillId="0" fontId="4" numFmtId="0" xfId="0" applyFont="1"/>
    <xf borderId="15" fillId="0" fontId="4" numFmtId="0" xfId="0" applyBorder="1" applyFont="1"/>
    <xf borderId="16" fillId="0" fontId="4" numFmtId="0" xfId="0" applyBorder="1" applyFont="1"/>
    <xf borderId="17" fillId="2" fontId="5" numFmtId="0" xfId="0" applyAlignment="1" applyBorder="1" applyFill="1" applyFont="1">
      <alignment horizontal="center" shrinkToFit="0" vertical="center" wrapText="1"/>
    </xf>
    <xf borderId="1" fillId="2" fontId="14" numFmtId="0" xfId="0" applyAlignment="1" applyBorder="1" applyFill="1" applyFont="1">
      <alignment horizontal="center" shrinkToFit="0" vertical="center" wrapText="1"/>
    </xf>
    <xf borderId="2" fillId="2" fontId="14" numFmtId="0" xfId="0" applyAlignment="1" applyBorder="1" applyFill="1" applyFont="1">
      <alignment horizontal="center" shrinkToFit="0" vertical="center" wrapText="1"/>
    </xf>
    <xf borderId="18" fillId="6" fontId="15" numFmtId="0" xfId="0" applyAlignment="1" applyBorder="1" applyFill="1" applyFont="1">
      <alignment horizontal="center"/>
    </xf>
    <xf borderId="19" fillId="0" fontId="6" numFmtId="0" xfId="0" applyBorder="1" applyFont="1"/>
    <xf borderId="20" fillId="7" fontId="15" numFmtId="0" xfId="0" applyAlignment="1" applyBorder="1" applyFill="1" applyFont="1">
      <alignment horizontal="center"/>
    </xf>
    <xf borderId="21" fillId="8" fontId="15" numFmtId="0" xfId="0" applyAlignment="1" applyBorder="1" applyFill="1" applyFont="1">
      <alignment horizontal="center" shrinkToFit="0" vertical="center" wrapText="1"/>
    </xf>
    <xf borderId="21" fillId="9" fontId="15" numFmtId="0" xfId="0" applyAlignment="1" applyBorder="1" applyFill="1" applyFont="1">
      <alignment horizontal="center" shrinkToFit="0" vertical="center" wrapText="1"/>
    </xf>
    <xf borderId="21" fillId="10" fontId="15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/>
    </xf>
    <xf borderId="0" fillId="0" fontId="4" numFmtId="10" xfId="0" applyFont="1" applyNumberFormat="1"/>
    <xf borderId="17" fillId="4" fontId="4" numFmtId="0" xfId="0" applyBorder="1" applyFill="1" applyFont="1"/>
    <xf borderId="1" fillId="3" fontId="4" numFmtId="0" xfId="0" applyBorder="1" applyFill="1" applyFont="1"/>
    <xf borderId="1" fillId="3" fontId="4" numFmtId="10" xfId="0" applyBorder="1" applyFill="1" applyFont="1" applyNumberFormat="1"/>
    <xf borderId="17" fillId="4" fontId="15" numFmtId="0" xfId="0" applyBorder="1" applyFill="1" applyFont="1"/>
    <xf borderId="22" fillId="7" fontId="15" numFmtId="0" xfId="0" applyBorder="1" applyFill="1" applyFont="1"/>
    <xf borderId="23" fillId="0" fontId="15" numFmtId="0" xfId="0" applyAlignment="1" applyBorder="1" applyFont="1">
      <alignment horizontal="center" shrinkToFit="0" vertical="center" wrapText="1"/>
    </xf>
    <xf borderId="1" fillId="3" fontId="15" numFmtId="0" xfId="0" applyBorder="1" applyFill="1" applyFont="1"/>
    <xf borderId="1" fillId="3" fontId="15" numFmtId="0" xfId="0" applyAlignment="1" applyBorder="1" applyFill="1" applyFont="1">
      <alignment horizontal="center" shrinkToFit="0" vertical="center" wrapText="1"/>
    </xf>
    <xf borderId="8" fillId="7" fontId="15" numFmtId="0" xfId="0" applyBorder="1" applyFill="1" applyFont="1"/>
    <xf borderId="24" fillId="0" fontId="15" numFmtId="0" xfId="0" applyAlignment="1" applyBorder="1" applyFont="1">
      <alignment horizontal="center" shrinkToFit="0" vertical="center" wrapText="1"/>
    </xf>
    <xf borderId="25" fillId="7" fontId="15" numFmtId="0" xfId="0" applyBorder="1" applyFill="1" applyFont="1"/>
    <xf borderId="26" fillId="0" fontId="15" numFmtId="165" xfId="0" applyAlignment="1" applyBorder="1" applyFont="1" applyNumberFormat="1">
      <alignment horizontal="center" shrinkToFit="0" vertical="center" wrapText="1"/>
    </xf>
    <xf borderId="1" fillId="3" fontId="15" numFmtId="165" xfId="0" applyAlignment="1" applyBorder="1" applyFill="1" applyFont="1" applyNumberFormat="1">
      <alignment horizontal="center" shrinkToFit="0" vertical="center" wrapText="1"/>
    </xf>
    <xf borderId="27" fillId="0" fontId="17" numFmtId="0" xfId="0" applyBorder="1" applyFont="1"/>
    <xf borderId="28" fillId="0" fontId="4" numFmtId="0" xfId="0" applyBorder="1" applyFont="1"/>
    <xf borderId="1" fillId="3" fontId="17" numFmtId="0" xfId="0" applyBorder="1" applyFill="1" applyFont="1"/>
    <xf borderId="8" fillId="2" fontId="14" numFmtId="0" xfId="0" applyAlignment="1" applyBorder="1" applyFill="1" applyFont="1">
      <alignment horizontal="center" shrinkToFit="0" vertical="center" wrapText="1"/>
    </xf>
    <xf borderId="9" fillId="2" fontId="14" numFmtId="0" xfId="0" applyAlignment="1" applyBorder="1" applyFill="1" applyFont="1">
      <alignment horizontal="center" shrinkToFit="0" vertical="center" wrapText="1"/>
    </xf>
    <xf borderId="1" fillId="3" fontId="14" numFmtId="0" xfId="0" applyAlignment="1" applyBorder="1" applyFill="1" applyFont="1">
      <alignment horizontal="center" shrinkToFit="0" vertical="center" wrapText="1"/>
    </xf>
    <xf borderId="24" fillId="0" fontId="18" numFmtId="0" xfId="0" applyAlignment="1" applyBorder="1" applyFont="1">
      <alignment horizontal="center"/>
    </xf>
    <xf borderId="1" fillId="3" fontId="18" numFmtId="0" xfId="0" applyBorder="1" applyFill="1" applyFont="1"/>
    <xf borderId="26" fillId="0" fontId="18" numFmtId="0" xfId="0" applyAlignment="1" applyBorder="1" applyFont="1">
      <alignment horizontal="center"/>
    </xf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0" fillId="0" fontId="4" numFmtId="0" xfId="0" applyAlignment="1" applyFont="1">
      <alignment horizontal="left" shrinkToFit="0" vertical="center" wrapText="1"/>
    </xf>
    <xf borderId="13" fillId="4" fontId="13" numFmtId="10" xfId="0" applyAlignment="1" applyBorder="1" applyFill="1" applyFont="1" applyNumberFormat="1">
      <alignment horizontal="center" vertic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Resultados de Pruebas Manuales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'Dashboard &amp; Métricas'!$D$28</c:f>
            </c:strRef>
          </c:tx>
          <c:dPt>
            <c:idx val="0"/>
            <c:explosion val="5"/>
            <c:spPr>
              <a:solidFill>
                <a:srgbClr val="B6D7A8"/>
              </a:solidFill>
            </c:spPr>
          </c:dPt>
          <c:dPt>
            <c:idx val="1"/>
            <c:explosion val="5"/>
            <c:spPr>
              <a:solidFill>
                <a:srgbClr val="EA9999"/>
              </a:solidFill>
            </c:spPr>
          </c:dPt>
          <c:dPt>
            <c:idx val="2"/>
            <c:explosion val="5"/>
            <c:spPr>
              <a:solidFill>
                <a:srgbClr val="D9D9D9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'Dashboard &amp; Métricas'!$C$29:$C$32</c:f>
            </c:strRef>
          </c:cat>
          <c:val>
            <c:numRef>
              <c:f>'Dashboard &amp; Métricas'!$D$29:$D$32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Resultados de Pruebas Sprint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'Dashboard &amp; Métricas'!$E$10</c:f>
            </c:strRef>
          </c:tx>
          <c:dPt>
            <c:idx val="0"/>
            <c:explosion val="10"/>
            <c:spPr>
              <a:solidFill>
                <a:srgbClr val="B6D7A8"/>
              </a:solidFill>
            </c:spPr>
          </c:dPt>
          <c:dPt>
            <c:idx val="1"/>
            <c:explosion val="5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A61C00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'Dashboard &amp; Métricas'!$D$11:$D$15</c:f>
            </c:strRef>
          </c:cat>
          <c:val>
            <c:numRef>
              <c:f>'Dashboard &amp; Métricas'!$E$11:$E$15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2162175</xdr:colOff>
      <xdr:row>20</xdr:row>
      <xdr:rowOff>28575</xdr:rowOff>
    </xdr:from>
    <xdr:ext cx="4448175" cy="2219325"/>
    <xdr:graphicFrame>
      <xdr:nvGraphicFramePr>
        <xdr:cNvPr id="47142695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352425</xdr:colOff>
      <xdr:row>5</xdr:row>
      <xdr:rowOff>28575</xdr:rowOff>
    </xdr:from>
    <xdr:ext cx="4448175" cy="2219325"/>
    <xdr:graphicFrame>
      <xdr:nvGraphicFramePr>
        <xdr:cNvPr id="46467623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pageSetUpPr/>
  </sheetPr>
  <sheetViews>
    <sheetView showGridLines="0" workbookViewId="0"/>
  </sheetViews>
  <sheetFormatPr customHeight="1" defaultColWidth="12.63" defaultRowHeight="15.0"/>
  <cols>
    <col customWidth="1" min="1" max="1" width="12.5"/>
    <col customWidth="1" min="2" max="2" width="13.0"/>
    <col customWidth="1" min="3" max="3" width="31.38"/>
    <col customWidth="1" min="4" max="4" width="29.63"/>
    <col customWidth="1" min="5" max="5" width="28.88"/>
    <col customWidth="1" min="6" max="6" width="10.5"/>
    <col customWidth="1" min="7" max="7" width="32.63"/>
    <col customWidth="1" min="8" max="8" width="32.38"/>
    <col customWidth="1" min="9" max="9" width="7.63"/>
  </cols>
  <sheetData>
    <row r="1" ht="15.75" customHeight="1">
      <c r="A1" s="54"/>
      <c r="B1" s="55"/>
      <c r="C1" s="54"/>
      <c r="I1" s="56"/>
    </row>
    <row r="2" ht="15.75" customHeight="1">
      <c r="A2" s="54"/>
      <c r="B2" s="57"/>
      <c r="C2" s="12" t="s">
        <v>256</v>
      </c>
      <c r="D2" s="13"/>
      <c r="E2" s="13"/>
      <c r="F2" s="13"/>
      <c r="G2" s="13"/>
      <c r="H2" s="13"/>
      <c r="I2" s="14"/>
    </row>
    <row r="3" ht="15.75" customHeight="1">
      <c r="A3" s="54"/>
      <c r="B3" s="55"/>
      <c r="C3" s="54"/>
      <c r="I3" s="56"/>
    </row>
    <row r="4" ht="15.75" customHeight="1">
      <c r="A4" s="54"/>
      <c r="B4" s="58"/>
      <c r="C4" s="59" t="s">
        <v>264</v>
      </c>
      <c r="D4" s="13"/>
      <c r="E4" s="13"/>
      <c r="F4" s="13"/>
      <c r="G4" s="13"/>
      <c r="H4" s="13"/>
      <c r="I4" s="14"/>
    </row>
    <row r="5" ht="15.75" customHeight="1">
      <c r="A5" s="54"/>
      <c r="B5" s="55"/>
      <c r="C5" s="54"/>
      <c r="I5" s="56"/>
    </row>
    <row r="6" ht="15.75" customHeight="1">
      <c r="A6" s="54"/>
      <c r="B6" s="55"/>
      <c r="C6" s="54"/>
      <c r="I6" s="56"/>
    </row>
    <row r="7" ht="15.75" customHeight="1">
      <c r="A7" s="54"/>
      <c r="B7" s="55"/>
      <c r="C7" s="54"/>
      <c r="I7" s="56"/>
    </row>
    <row r="8" ht="15.75" customHeight="1">
      <c r="A8" s="54"/>
      <c r="B8" s="55"/>
      <c r="C8" s="54"/>
      <c r="I8" s="56"/>
    </row>
    <row r="9" ht="15.75" customHeight="1">
      <c r="A9" s="54"/>
      <c r="B9" s="55"/>
      <c r="C9" s="54"/>
      <c r="D9" s="60" t="str">
        <f>IF(AND($E$14=0, $E$10&gt;0, $D$9&lt;&gt;""), $D$9, "Sprint: (" &amp; TEXT(TODAY() - WEEKDAY(TODAY(), 2) + 1, "dd/mm/yyyy") &amp; " - " &amp; TEXT(TODAY() - WEEKDAY(TODAY(), 2) + 5, "dd/mm/yyyy") &amp; ")")</f>
        <v>#REF!</v>
      </c>
      <c r="E9" s="61"/>
      <c r="I9" s="56"/>
    </row>
    <row r="10" ht="15.75" customHeight="1">
      <c r="A10" s="54"/>
      <c r="B10" s="55"/>
      <c r="C10" s="54"/>
      <c r="D10" s="62" t="s">
        <v>295</v>
      </c>
      <c r="E10" s="63">
        <f>$D$22+$H$22</f>
        <v>65</v>
      </c>
      <c r="I10" s="56"/>
    </row>
    <row r="11" ht="15.75" customHeight="1">
      <c r="A11" s="54"/>
      <c r="B11" s="55"/>
      <c r="C11" s="54"/>
      <c r="D11" s="62" t="s">
        <v>308</v>
      </c>
      <c r="E11" s="63">
        <f>$D$29+$H$29</f>
        <v>0</v>
      </c>
      <c r="I11" s="56"/>
    </row>
    <row r="12" ht="15.75" customHeight="1">
      <c r="A12" s="54"/>
      <c r="B12" s="55"/>
      <c r="C12" s="54"/>
      <c r="D12" s="62" t="s">
        <v>312</v>
      </c>
      <c r="E12" s="64">
        <f>$D$30+$H$30</f>
        <v>0</v>
      </c>
      <c r="I12" s="56"/>
    </row>
    <row r="13" ht="15.75" customHeight="1">
      <c r="A13" s="54"/>
      <c r="B13" s="55"/>
      <c r="C13" s="54"/>
      <c r="D13" s="62" t="s">
        <v>317</v>
      </c>
      <c r="E13" s="65">
        <f>$D$31+$H$31</f>
        <v>0</v>
      </c>
      <c r="I13" s="56"/>
    </row>
    <row r="14" ht="15.75" customHeight="1">
      <c r="A14" s="54"/>
      <c r="B14" s="55"/>
      <c r="C14" s="54"/>
      <c r="D14" s="62" t="s">
        <v>323</v>
      </c>
      <c r="E14" s="63">
        <f>E10-E11-E12</f>
        <v>65</v>
      </c>
      <c r="I14" s="56"/>
    </row>
    <row r="15" ht="15.75" customHeight="1">
      <c r="A15" s="54"/>
      <c r="B15" s="55"/>
      <c r="C15" s="54"/>
      <c r="D15" s="66" t="s">
        <v>330</v>
      </c>
      <c r="I15" s="56"/>
    </row>
    <row r="16" ht="15.75" customHeight="1">
      <c r="A16" s="54"/>
      <c r="B16" s="55"/>
      <c r="C16" s="54"/>
      <c r="H16" s="67"/>
      <c r="I16" s="56"/>
    </row>
    <row r="17" ht="15.75" customHeight="1">
      <c r="A17" s="54"/>
      <c r="B17" s="55"/>
      <c r="C17" s="54"/>
      <c r="H17" s="67"/>
      <c r="I17" s="56"/>
    </row>
    <row r="18" ht="15.75" customHeight="1">
      <c r="A18" s="54"/>
      <c r="B18" s="55"/>
      <c r="C18" s="54"/>
      <c r="H18" s="67"/>
      <c r="I18" s="56"/>
    </row>
    <row r="19" ht="15.75" customHeight="1">
      <c r="A19" s="54"/>
      <c r="B19" s="55"/>
      <c r="C19" s="54"/>
      <c r="H19" s="67"/>
      <c r="I19" s="56"/>
    </row>
    <row r="20" ht="15.75" customHeight="1">
      <c r="A20" s="54"/>
      <c r="B20" s="68"/>
      <c r="C20" s="54"/>
      <c r="H20" s="67"/>
      <c r="I20" s="56"/>
    </row>
    <row r="21" ht="15.75" customHeight="1">
      <c r="A21" s="54"/>
      <c r="B21" s="68"/>
      <c r="C21" s="54"/>
      <c r="F21" s="69"/>
      <c r="G21" s="69"/>
      <c r="H21" s="70"/>
      <c r="I21" s="56"/>
    </row>
    <row r="22" ht="15.75" customHeight="1">
      <c r="A22" s="54"/>
      <c r="B22" s="71"/>
      <c r="C22" s="72" t="s">
        <v>349</v>
      </c>
      <c r="D22" s="73">
        <f>SUM('Matriz Casos de Prueba Puebla'!D84)</f>
        <v>65</v>
      </c>
      <c r="F22" s="69"/>
      <c r="G22" s="74"/>
      <c r="H22" s="75"/>
      <c r="I22" s="56"/>
    </row>
    <row r="23" ht="15.75" customHeight="1">
      <c r="A23" s="54"/>
      <c r="B23" s="71"/>
      <c r="C23" s="76" t="s">
        <v>373</v>
      </c>
      <c r="D23" s="77">
        <f>SUM('Matriz Casos de Prueba Puebla'!D88)</f>
        <v>0</v>
      </c>
      <c r="F23" s="69"/>
      <c r="G23" s="74"/>
      <c r="H23" s="75"/>
      <c r="I23" s="56"/>
    </row>
    <row r="24" ht="15.75" customHeight="1">
      <c r="A24" s="54"/>
      <c r="B24" s="71"/>
      <c r="C24" s="78" t="s">
        <v>381</v>
      </c>
      <c r="D24" s="79" t="str">
        <f>D29/D23</f>
        <v>#DIV/0!</v>
      </c>
      <c r="F24" s="69"/>
      <c r="G24" s="74"/>
      <c r="H24" s="80"/>
      <c r="I24" s="56"/>
    </row>
    <row r="25" ht="15.75" customHeight="1">
      <c r="A25" s="54"/>
      <c r="B25" s="68"/>
      <c r="C25" s="54"/>
      <c r="F25" s="69"/>
      <c r="G25" s="69"/>
      <c r="H25" s="70"/>
      <c r="I25" s="56"/>
    </row>
    <row r="26" ht="15.75" customHeight="1">
      <c r="A26" s="54"/>
      <c r="B26" s="71"/>
      <c r="C26" s="54"/>
      <c r="F26" s="69"/>
      <c r="G26" s="69"/>
      <c r="H26" s="70"/>
      <c r="I26" s="56"/>
    </row>
    <row r="27" ht="15.75" customHeight="1">
      <c r="A27" s="54"/>
      <c r="B27" s="71"/>
      <c r="C27" s="81" t="s">
        <v>388</v>
      </c>
      <c r="D27" s="82"/>
      <c r="F27" s="69"/>
      <c r="G27" s="83"/>
      <c r="H27" s="69"/>
      <c r="I27" s="56"/>
    </row>
    <row r="28" ht="15.75" customHeight="1">
      <c r="A28" s="54"/>
      <c r="B28" s="71"/>
      <c r="C28" s="84" t="s">
        <v>401</v>
      </c>
      <c r="D28" s="85" t="s">
        <v>402</v>
      </c>
      <c r="F28" s="69"/>
      <c r="G28" s="86"/>
      <c r="H28" s="86"/>
      <c r="I28" s="56"/>
    </row>
    <row r="29" ht="15.75" customHeight="1">
      <c r="A29" s="54"/>
      <c r="B29" s="71"/>
      <c r="C29" s="76" t="s">
        <v>409</v>
      </c>
      <c r="D29" s="87">
        <f>'Matriz Casos de Prueba Puebla'!D85</f>
        <v>0</v>
      </c>
      <c r="F29" s="69"/>
      <c r="G29" s="74"/>
      <c r="H29" s="88"/>
      <c r="I29" s="56"/>
    </row>
    <row r="30" ht="15.75" customHeight="1">
      <c r="A30" s="54"/>
      <c r="B30" s="71"/>
      <c r="C30" s="76" t="s">
        <v>416</v>
      </c>
      <c r="D30" s="87">
        <f>'Matriz Casos de Prueba Puebla'!D86</f>
        <v>0</v>
      </c>
      <c r="F30" s="69"/>
      <c r="G30" s="74"/>
      <c r="H30" s="88"/>
      <c r="I30" s="56"/>
    </row>
    <row r="31" ht="15.75" customHeight="1">
      <c r="A31" s="54"/>
      <c r="B31" s="71"/>
      <c r="C31" s="76" t="s">
        <v>423</v>
      </c>
      <c r="D31" s="87">
        <f>'Matriz Casos de Prueba Puebla'!D87</f>
        <v>0</v>
      </c>
      <c r="F31" s="69"/>
      <c r="G31" s="74"/>
      <c r="H31" s="88"/>
      <c r="I31" s="56"/>
    </row>
    <row r="32" ht="15.75" customHeight="1">
      <c r="A32" s="54"/>
      <c r="B32" s="71"/>
      <c r="C32" s="78" t="s">
        <v>41</v>
      </c>
      <c r="D32" s="89">
        <f>$D$22-$D$23</f>
        <v>65</v>
      </c>
      <c r="F32" s="69"/>
      <c r="G32" s="74"/>
      <c r="H32" s="88"/>
      <c r="I32" s="56"/>
    </row>
    <row r="33" ht="15.75" customHeight="1">
      <c r="A33" s="54"/>
      <c r="B33" s="68"/>
      <c r="C33" s="54"/>
      <c r="F33" s="69"/>
      <c r="G33" s="69"/>
      <c r="H33" s="69"/>
      <c r="I33" s="56"/>
    </row>
    <row r="34" ht="15.75" customHeight="1">
      <c r="A34" s="54"/>
      <c r="B34" s="68"/>
      <c r="C34" s="54"/>
      <c r="I34" s="56"/>
    </row>
    <row r="35" ht="15.75" customHeight="1">
      <c r="A35" s="54"/>
      <c r="B35" s="55"/>
      <c r="C35" s="54"/>
      <c r="I35" s="56"/>
    </row>
    <row r="36" ht="15.75" customHeight="1">
      <c r="A36" s="54"/>
      <c r="B36" s="55"/>
      <c r="C36" s="54"/>
      <c r="I36" s="56"/>
    </row>
    <row r="37" ht="15.75" customHeight="1">
      <c r="A37" s="54"/>
      <c r="B37" s="55"/>
      <c r="C37" s="54"/>
      <c r="I37" s="56"/>
    </row>
    <row r="38" ht="15.75" customHeight="1">
      <c r="A38" s="54"/>
      <c r="B38" s="90"/>
      <c r="C38" s="91"/>
      <c r="D38" s="91"/>
      <c r="E38" s="91"/>
      <c r="F38" s="91"/>
      <c r="G38" s="91"/>
      <c r="H38" s="91"/>
      <c r="I38" s="92"/>
    </row>
    <row r="39" ht="15.75" customHeight="1">
      <c r="A39" s="54"/>
    </row>
    <row r="40" ht="15.75" customHeight="1">
      <c r="A40" s="54"/>
    </row>
    <row r="41" ht="15.75" customHeight="1">
      <c r="A41" s="54"/>
    </row>
    <row r="42" ht="15.75" customHeight="1">
      <c r="A42" s="54"/>
    </row>
    <row r="43" ht="15.75" customHeight="1">
      <c r="A43" s="54"/>
    </row>
    <row r="44" ht="15.75" customHeight="1">
      <c r="A44" s="54"/>
    </row>
    <row r="45" ht="15.75" customHeight="1">
      <c r="A45" s="54"/>
    </row>
    <row r="46" ht="15.75" customHeight="1">
      <c r="A46" s="54"/>
    </row>
    <row r="47" ht="15.75" customHeight="1">
      <c r="A47" s="54"/>
    </row>
    <row r="48" ht="15.75" customHeight="1">
      <c r="A48" s="54"/>
    </row>
    <row r="49" ht="15.75" customHeight="1">
      <c r="A49" s="54"/>
    </row>
    <row r="50" ht="15.75" customHeight="1">
      <c r="A50" s="54"/>
    </row>
    <row r="51" ht="15.75" customHeight="1">
      <c r="A51" s="54"/>
    </row>
    <row r="52" ht="15.75" customHeight="1">
      <c r="A52" s="54"/>
    </row>
    <row r="53" ht="15.75" customHeight="1">
      <c r="A53" s="54"/>
    </row>
    <row r="54" ht="15.75" customHeight="1">
      <c r="A54" s="54"/>
    </row>
    <row r="55" ht="15.75" customHeight="1">
      <c r="A55" s="54"/>
    </row>
    <row r="56" ht="15.75" customHeight="1">
      <c r="A56" s="54"/>
    </row>
    <row r="57" ht="15.75" customHeight="1">
      <c r="A57" s="54"/>
    </row>
    <row r="58" ht="15.75" customHeight="1">
      <c r="A58" s="54"/>
    </row>
    <row r="59" ht="15.75" customHeight="1">
      <c r="A59" s="54"/>
    </row>
    <row r="60" ht="15.75" customHeight="1">
      <c r="A60" s="54"/>
    </row>
    <row r="61" ht="15.75" customHeight="1">
      <c r="A61" s="54"/>
    </row>
    <row r="62" ht="15.75" customHeight="1">
      <c r="A62" s="54"/>
    </row>
    <row r="63" ht="15.75" customHeight="1">
      <c r="A63" s="54"/>
    </row>
    <row r="64" ht="15.75" customHeight="1">
      <c r="A64" s="54"/>
    </row>
    <row r="65" ht="15.75" customHeight="1">
      <c r="A65" s="54"/>
    </row>
    <row r="66" ht="15.75" customHeight="1">
      <c r="A66" s="54"/>
    </row>
    <row r="67" ht="15.75" customHeight="1">
      <c r="A67" s="54"/>
    </row>
    <row r="68" ht="15.75" customHeight="1">
      <c r="A68" s="54"/>
    </row>
    <row r="69" ht="15.75" customHeight="1">
      <c r="A69" s="54"/>
    </row>
    <row r="70" ht="15.75" customHeight="1">
      <c r="A70" s="54"/>
    </row>
    <row r="71" ht="15.75" customHeight="1">
      <c r="A71" s="54"/>
    </row>
    <row r="72" ht="15.75" customHeight="1">
      <c r="A72" s="54"/>
    </row>
    <row r="73" ht="15.75" customHeight="1">
      <c r="A73" s="54"/>
    </row>
    <row r="74" ht="15.75" customHeight="1">
      <c r="A74" s="54"/>
    </row>
    <row r="75" ht="15.75" customHeight="1">
      <c r="A75" s="54"/>
    </row>
    <row r="76" ht="15.75" customHeight="1">
      <c r="A76" s="54"/>
    </row>
    <row r="77" ht="15.75" customHeight="1">
      <c r="A77" s="54"/>
    </row>
    <row r="78" ht="15.75" customHeight="1">
      <c r="A78" s="54"/>
    </row>
    <row r="79" ht="15.75" customHeight="1">
      <c r="A79" s="54"/>
    </row>
    <row r="80" ht="15.75" customHeight="1">
      <c r="A80" s="54"/>
    </row>
    <row r="81" ht="15.75" customHeight="1">
      <c r="A81" s="54"/>
    </row>
    <row r="82" ht="15.75" customHeight="1">
      <c r="A82" s="54"/>
    </row>
    <row r="83" ht="15.75" customHeight="1">
      <c r="A83" s="54"/>
    </row>
    <row r="84" ht="15.75" customHeight="1">
      <c r="A84" s="54"/>
    </row>
    <row r="85" ht="15.75" customHeight="1">
      <c r="A85" s="54"/>
    </row>
    <row r="86" ht="15.75" customHeight="1">
      <c r="A86" s="54"/>
    </row>
    <row r="87" ht="15.75" customHeight="1">
      <c r="A87" s="54"/>
    </row>
    <row r="88" ht="15.75" customHeight="1">
      <c r="A88" s="54"/>
    </row>
    <row r="89" ht="15.75" customHeight="1">
      <c r="A89" s="54"/>
    </row>
    <row r="90" ht="15.75" customHeight="1">
      <c r="A90" s="54"/>
    </row>
    <row r="91" ht="15.75" customHeight="1">
      <c r="A91" s="54"/>
    </row>
    <row r="92" ht="15.75" customHeight="1">
      <c r="A92" s="54"/>
    </row>
    <row r="93" ht="15.75" customHeight="1">
      <c r="A93" s="54"/>
    </row>
    <row r="94" ht="15.75" customHeight="1">
      <c r="A94" s="54"/>
    </row>
    <row r="95" ht="15.75" customHeight="1">
      <c r="A95" s="54"/>
    </row>
    <row r="96" ht="15.75" customHeight="1">
      <c r="A96" s="54"/>
    </row>
    <row r="97" ht="15.75" customHeight="1">
      <c r="A97" s="54"/>
    </row>
    <row r="98" ht="15.75" customHeight="1">
      <c r="A98" s="54"/>
    </row>
    <row r="99" ht="15.75" customHeight="1">
      <c r="A99" s="54"/>
    </row>
    <row r="100" ht="15.75" customHeight="1">
      <c r="A100" s="54"/>
    </row>
    <row r="101" ht="15.75" customHeight="1">
      <c r="A101" s="54"/>
    </row>
    <row r="102" ht="15.75" customHeight="1">
      <c r="A102" s="54"/>
    </row>
    <row r="103" ht="15.75" customHeight="1">
      <c r="A103" s="54"/>
    </row>
    <row r="104" ht="15.75" customHeight="1">
      <c r="A104" s="54"/>
    </row>
    <row r="105" ht="15.75" customHeight="1">
      <c r="A105" s="54"/>
    </row>
    <row r="106" ht="15.75" customHeight="1">
      <c r="A106" s="54"/>
    </row>
    <row r="107" ht="15.75" customHeight="1">
      <c r="A107" s="54"/>
    </row>
    <row r="108" ht="15.75" customHeight="1">
      <c r="A108" s="54"/>
    </row>
    <row r="109" ht="15.75" customHeight="1">
      <c r="A109" s="54"/>
    </row>
    <row r="110" ht="15.75" customHeight="1">
      <c r="A110" s="54"/>
    </row>
    <row r="111" ht="15.75" customHeight="1">
      <c r="A111" s="54"/>
    </row>
    <row r="112" ht="15.75" customHeight="1">
      <c r="A112" s="54"/>
    </row>
    <row r="113" ht="15.75" customHeight="1">
      <c r="A113" s="54"/>
    </row>
    <row r="114" ht="15.75" customHeight="1">
      <c r="A114" s="54"/>
    </row>
    <row r="115" ht="15.75" customHeight="1">
      <c r="A115" s="54"/>
    </row>
    <row r="116" ht="15.75" customHeight="1">
      <c r="A116" s="54"/>
    </row>
    <row r="117" ht="15.75" customHeight="1">
      <c r="A117" s="54"/>
    </row>
    <row r="118" ht="15.75" customHeight="1">
      <c r="A118" s="54"/>
    </row>
    <row r="119" ht="15.75" customHeight="1">
      <c r="A119" s="54"/>
    </row>
    <row r="120" ht="15.75" customHeight="1">
      <c r="A120" s="54"/>
    </row>
    <row r="121" ht="15.75" customHeight="1">
      <c r="A121" s="54"/>
    </row>
    <row r="122" ht="15.75" customHeight="1">
      <c r="A122" s="54"/>
    </row>
    <row r="123" ht="15.75" customHeight="1">
      <c r="A123" s="54"/>
    </row>
    <row r="124" ht="15.75" customHeight="1">
      <c r="A124" s="54"/>
    </row>
    <row r="125" ht="15.75" customHeight="1">
      <c r="A125" s="54"/>
    </row>
    <row r="126" ht="15.75" customHeight="1">
      <c r="A126" s="54"/>
    </row>
    <row r="127" ht="15.75" customHeight="1">
      <c r="A127" s="54"/>
    </row>
    <row r="128" ht="15.75" customHeight="1">
      <c r="A128" s="54"/>
    </row>
    <row r="129" ht="15.75" customHeight="1">
      <c r="A129" s="54"/>
    </row>
    <row r="130" ht="15.75" customHeight="1">
      <c r="A130" s="54"/>
    </row>
    <row r="131" ht="15.75" customHeight="1">
      <c r="A131" s="54"/>
    </row>
    <row r="132" ht="15.75" customHeight="1">
      <c r="A132" s="54"/>
    </row>
    <row r="133" ht="15.75" customHeight="1">
      <c r="A133" s="54"/>
    </row>
    <row r="134" ht="15.75" customHeight="1">
      <c r="A134" s="54"/>
    </row>
    <row r="135" ht="15.75" customHeight="1">
      <c r="A135" s="54"/>
    </row>
    <row r="136" ht="15.75" customHeight="1">
      <c r="A136" s="54"/>
    </row>
    <row r="137" ht="15.75" customHeight="1">
      <c r="A137" s="54"/>
    </row>
    <row r="138" ht="15.75" customHeight="1">
      <c r="A138" s="54"/>
    </row>
    <row r="139" ht="15.75" customHeight="1">
      <c r="A139" s="54"/>
    </row>
    <row r="140" ht="15.75" customHeight="1">
      <c r="A140" s="54"/>
    </row>
    <row r="141" ht="15.75" customHeight="1">
      <c r="A141" s="54"/>
    </row>
    <row r="142" ht="15.75" customHeight="1">
      <c r="A142" s="54"/>
    </row>
    <row r="143" ht="15.75" customHeight="1">
      <c r="A143" s="54"/>
    </row>
    <row r="144" ht="15.75" customHeight="1">
      <c r="A144" s="54"/>
    </row>
    <row r="145" ht="15.75" customHeight="1">
      <c r="A145" s="54"/>
    </row>
    <row r="146" ht="15.75" customHeight="1">
      <c r="A146" s="54"/>
    </row>
    <row r="147" ht="15.75" customHeight="1">
      <c r="A147" s="54"/>
    </row>
    <row r="148" ht="15.75" customHeight="1">
      <c r="A148" s="54"/>
    </row>
    <row r="149" ht="15.75" customHeight="1">
      <c r="A149" s="54"/>
    </row>
    <row r="150" ht="15.75" customHeight="1">
      <c r="A150" s="54"/>
    </row>
    <row r="151" ht="15.75" customHeight="1">
      <c r="A151" s="54"/>
    </row>
    <row r="152" ht="15.75" customHeight="1">
      <c r="A152" s="54"/>
    </row>
    <row r="153" ht="15.75" customHeight="1">
      <c r="A153" s="54"/>
    </row>
    <row r="154" ht="15.75" customHeight="1">
      <c r="A154" s="54"/>
    </row>
    <row r="155" ht="15.75" customHeight="1">
      <c r="A155" s="54"/>
    </row>
    <row r="156" ht="15.75" customHeight="1">
      <c r="A156" s="54"/>
    </row>
    <row r="157" ht="15.75" customHeight="1">
      <c r="A157" s="54"/>
    </row>
    <row r="158" ht="15.75" customHeight="1">
      <c r="A158" s="54"/>
    </row>
    <row r="159" ht="15.75" customHeight="1">
      <c r="A159" s="54"/>
    </row>
    <row r="160" ht="15.75" customHeight="1">
      <c r="A160" s="54"/>
    </row>
    <row r="161" ht="15.75" customHeight="1">
      <c r="A161" s="54"/>
    </row>
    <row r="162" ht="15.75" customHeight="1">
      <c r="A162" s="54"/>
    </row>
    <row r="163" ht="15.75" customHeight="1">
      <c r="A163" s="54"/>
    </row>
    <row r="164" ht="15.75" customHeight="1">
      <c r="A164" s="54"/>
    </row>
    <row r="165" ht="15.75" customHeight="1">
      <c r="A165" s="54"/>
    </row>
    <row r="166" ht="15.75" customHeight="1">
      <c r="A166" s="54"/>
    </row>
    <row r="167" ht="15.75" customHeight="1">
      <c r="A167" s="54"/>
    </row>
    <row r="168" ht="15.75" customHeight="1">
      <c r="A168" s="54"/>
    </row>
    <row r="169" ht="15.75" customHeight="1">
      <c r="A169" s="54"/>
    </row>
    <row r="170" ht="15.75" customHeight="1">
      <c r="A170" s="54"/>
    </row>
    <row r="171" ht="15.75" customHeight="1">
      <c r="A171" s="54"/>
    </row>
    <row r="172" ht="15.75" customHeight="1">
      <c r="A172" s="54"/>
    </row>
    <row r="173" ht="15.75" customHeight="1">
      <c r="A173" s="54"/>
    </row>
    <row r="174" ht="15.75" customHeight="1">
      <c r="A174" s="54"/>
    </row>
    <row r="175" ht="15.75" customHeight="1">
      <c r="A175" s="54"/>
    </row>
    <row r="176" ht="15.75" customHeight="1">
      <c r="A176" s="54"/>
    </row>
    <row r="177" ht="15.75" customHeight="1">
      <c r="A177" s="54"/>
    </row>
    <row r="178" ht="15.75" customHeight="1">
      <c r="A178" s="54"/>
    </row>
    <row r="179" ht="15.75" customHeight="1">
      <c r="A179" s="54"/>
    </row>
    <row r="180" ht="15.75" customHeight="1">
      <c r="A180" s="54"/>
    </row>
    <row r="181" ht="15.75" customHeight="1">
      <c r="A181" s="54"/>
    </row>
    <row r="182" ht="15.75" customHeight="1">
      <c r="A182" s="54"/>
    </row>
    <row r="183" ht="15.75" customHeight="1">
      <c r="A183" s="54"/>
    </row>
    <row r="184" ht="15.75" customHeight="1">
      <c r="A184" s="54"/>
    </row>
    <row r="185" ht="15.75" customHeight="1">
      <c r="A185" s="54"/>
    </row>
    <row r="186" ht="15.75" customHeight="1">
      <c r="A186" s="54"/>
    </row>
    <row r="187" ht="15.75" customHeight="1">
      <c r="A187" s="54"/>
    </row>
    <row r="188" ht="15.75" customHeight="1">
      <c r="A188" s="54"/>
    </row>
    <row r="189" ht="15.75" customHeight="1">
      <c r="A189" s="54"/>
    </row>
    <row r="190" ht="15.75" customHeight="1">
      <c r="A190" s="54"/>
    </row>
    <row r="191" ht="15.75" customHeight="1">
      <c r="A191" s="54"/>
    </row>
    <row r="192" ht="15.75" customHeight="1">
      <c r="A192" s="54"/>
    </row>
    <row r="193" ht="15.75" customHeight="1">
      <c r="A193" s="54"/>
    </row>
    <row r="194" ht="15.75" customHeight="1">
      <c r="A194" s="54"/>
    </row>
    <row r="195" ht="15.75" customHeight="1">
      <c r="A195" s="54"/>
    </row>
    <row r="196" ht="15.75" customHeight="1">
      <c r="A196" s="54"/>
    </row>
    <row r="197" ht="15.75" customHeight="1">
      <c r="A197" s="54"/>
    </row>
    <row r="198" ht="15.75" customHeight="1">
      <c r="A198" s="54"/>
    </row>
    <row r="199" ht="15.75" customHeight="1">
      <c r="A199" s="54"/>
    </row>
    <row r="200" ht="15.75" customHeight="1">
      <c r="A200" s="54"/>
    </row>
    <row r="201" ht="15.75" customHeight="1">
      <c r="A201" s="54"/>
    </row>
    <row r="202" ht="15.75" customHeight="1">
      <c r="A202" s="54"/>
    </row>
    <row r="203" ht="15.75" customHeight="1">
      <c r="A203" s="54"/>
    </row>
    <row r="204" ht="15.75" customHeight="1">
      <c r="A204" s="54"/>
    </row>
    <row r="205" ht="15.75" customHeight="1">
      <c r="A205" s="54"/>
    </row>
    <row r="206" ht="15.75" customHeight="1">
      <c r="A206" s="54"/>
    </row>
    <row r="207" ht="15.75" customHeight="1">
      <c r="A207" s="54"/>
    </row>
    <row r="208" ht="15.75" customHeight="1">
      <c r="A208" s="54"/>
    </row>
    <row r="209" ht="15.75" customHeight="1">
      <c r="A209" s="54"/>
    </row>
    <row r="210" ht="15.75" customHeight="1">
      <c r="A210" s="54"/>
    </row>
    <row r="211" ht="15.75" customHeight="1">
      <c r="A211" s="54"/>
    </row>
    <row r="212" ht="15.75" customHeight="1">
      <c r="A212" s="54"/>
    </row>
    <row r="213" ht="15.75" customHeight="1">
      <c r="A213" s="54"/>
    </row>
    <row r="214" ht="15.75" customHeight="1">
      <c r="A214" s="54"/>
    </row>
    <row r="215" ht="15.75" customHeight="1">
      <c r="A215" s="54"/>
    </row>
    <row r="216" ht="15.75" customHeight="1">
      <c r="A216" s="54"/>
    </row>
    <row r="217" ht="15.75" customHeight="1">
      <c r="A217" s="54"/>
    </row>
    <row r="218" ht="15.75" customHeight="1">
      <c r="A218" s="54"/>
    </row>
    <row r="219" ht="15.75" customHeight="1">
      <c r="A219" s="54"/>
    </row>
    <row r="220" ht="15.75" customHeight="1">
      <c r="A220" s="54"/>
    </row>
    <row r="221" ht="15.75" customHeight="1">
      <c r="A221" s="54"/>
    </row>
    <row r="222" ht="15.75" customHeight="1">
      <c r="A222" s="54"/>
    </row>
    <row r="223" ht="15.75" customHeight="1">
      <c r="A223" s="54"/>
    </row>
    <row r="224" ht="15.75" customHeight="1">
      <c r="A224" s="54"/>
    </row>
    <row r="225" ht="15.75" customHeight="1">
      <c r="A225" s="54"/>
    </row>
    <row r="226" ht="15.75" customHeight="1">
      <c r="A226" s="54"/>
    </row>
    <row r="227" ht="15.75" customHeight="1">
      <c r="A227" s="54"/>
    </row>
    <row r="228" ht="15.75" customHeight="1">
      <c r="A228" s="54"/>
    </row>
    <row r="229" ht="15.75" customHeight="1">
      <c r="A229" s="54"/>
    </row>
    <row r="230" ht="15.75" customHeight="1">
      <c r="A230" s="54"/>
    </row>
    <row r="231" ht="15.75" customHeight="1">
      <c r="A231" s="54"/>
    </row>
    <row r="232" ht="15.75" customHeight="1">
      <c r="A232" s="5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1:E1"/>
    <mergeCell ref="C2:I2"/>
    <mergeCell ref="C4:I4"/>
    <mergeCell ref="D9:E9"/>
    <mergeCell ref="D15:E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2.0"/>
    <col customWidth="1" min="3" max="3" width="24.0"/>
    <col customWidth="1" min="4" max="4" width="43.63"/>
    <col customWidth="1" min="5" max="5" width="24.63"/>
    <col customWidth="1" min="6" max="6" width="36.38"/>
    <col customWidth="1" min="7" max="7" width="31.63"/>
    <col customWidth="1" min="8" max="8" width="45.38"/>
    <col customWidth="1" min="9" max="9" width="43.63"/>
    <col customWidth="1" min="10" max="10" width="42.38"/>
    <col customWidth="1" min="11" max="11" width="46.5"/>
    <col customWidth="1" min="12" max="12" width="15.38"/>
    <col customWidth="1" min="13" max="13" width="21.0"/>
    <col customWidth="1" min="14" max="14" width="9.0"/>
    <col customWidth="1" min="15" max="15" width="17.0"/>
    <col customWidth="1" min="16" max="16" width="19.13"/>
    <col customWidth="1" min="17" max="17" width="16.63"/>
    <col customWidth="1" min="18" max="20" width="14.88"/>
    <col customWidth="1" min="21" max="21" width="58.0"/>
    <col customWidth="1" min="22" max="22" width="67.38"/>
  </cols>
  <sheetData>
    <row r="1" ht="15.75" customHeight="1">
      <c r="A1" s="1"/>
      <c r="B1" s="2"/>
      <c r="C1" s="1"/>
      <c r="D1" s="1"/>
      <c r="E1" s="3"/>
      <c r="F1" s="1"/>
      <c r="G1" s="4"/>
      <c r="H1" s="4"/>
      <c r="I1" s="4"/>
      <c r="J1" s="5"/>
      <c r="K1" s="5"/>
      <c r="L1" s="6"/>
      <c r="M1" s="7"/>
      <c r="N1" s="7"/>
      <c r="O1" s="6"/>
      <c r="P1" s="6"/>
      <c r="Q1" s="6"/>
      <c r="R1" s="6"/>
      <c r="S1" s="6"/>
      <c r="T1" s="6"/>
      <c r="U1" s="6"/>
      <c r="V1" s="8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ht="15.75" customHeight="1">
      <c r="A2" s="1"/>
      <c r="B2" s="2"/>
      <c r="C2" s="1"/>
      <c r="D2" s="1"/>
      <c r="E2" s="3"/>
      <c r="F2" s="1"/>
      <c r="G2" s="4"/>
      <c r="H2" s="4"/>
      <c r="I2" s="4"/>
      <c r="J2" s="5"/>
      <c r="K2" s="5"/>
      <c r="L2" s="6"/>
      <c r="M2" s="7"/>
      <c r="N2" s="7"/>
      <c r="O2" s="6"/>
      <c r="P2" s="6"/>
      <c r="Q2" s="6"/>
      <c r="R2" s="6"/>
      <c r="S2" s="6"/>
      <c r="T2" s="6"/>
      <c r="U2" s="6"/>
      <c r="V2" s="8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ht="15.75" customHeight="1">
      <c r="A3" s="9"/>
      <c r="B3" s="10"/>
      <c r="C3" s="11"/>
      <c r="D3" s="11"/>
      <c r="E3" s="12" t="s">
        <v>0</v>
      </c>
      <c r="F3" s="13"/>
      <c r="G3" s="13"/>
      <c r="H3" s="13"/>
      <c r="I3" s="13"/>
      <c r="J3" s="14"/>
      <c r="K3" s="15"/>
      <c r="L3" s="16"/>
      <c r="M3" s="16"/>
      <c r="N3" s="16"/>
      <c r="O3" s="16"/>
      <c r="P3" s="16"/>
      <c r="Q3" s="16"/>
      <c r="R3" s="16"/>
      <c r="S3" s="16"/>
      <c r="T3" s="16"/>
      <c r="U3" s="16"/>
      <c r="V3" s="17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</row>
    <row r="4" ht="15.75" customHeight="1">
      <c r="A4" s="6"/>
      <c r="B4" s="19"/>
      <c r="C4" s="6"/>
      <c r="D4" s="6"/>
      <c r="E4" s="8"/>
      <c r="F4" s="6"/>
      <c r="G4" s="20"/>
      <c r="H4" s="20"/>
      <c r="I4" s="20"/>
      <c r="J4" s="5"/>
      <c r="K4" s="5"/>
      <c r="L4" s="6"/>
      <c r="M4" s="7"/>
      <c r="N4" s="7"/>
      <c r="O4" s="6"/>
      <c r="P4" s="6"/>
      <c r="Q4" s="6"/>
      <c r="R4" s="6"/>
      <c r="S4" s="6"/>
      <c r="T4" s="6"/>
      <c r="U4" s="6"/>
      <c r="V4" s="8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ht="15.75" customHeight="1">
      <c r="A5" s="6"/>
      <c r="B5" s="19"/>
      <c r="C5" s="6"/>
      <c r="D5" s="6"/>
      <c r="E5" s="21" t="s">
        <v>1</v>
      </c>
      <c r="F5" s="22" t="s">
        <v>2</v>
      </c>
      <c r="G5" s="23"/>
      <c r="H5" s="23"/>
      <c r="I5" s="23"/>
      <c r="J5" s="5"/>
      <c r="K5" s="5"/>
      <c r="L5" s="6"/>
      <c r="M5" s="7"/>
      <c r="N5" s="7"/>
      <c r="O5" s="6"/>
      <c r="P5" s="6"/>
      <c r="Q5" s="6"/>
      <c r="R5" s="6"/>
      <c r="S5" s="6"/>
      <c r="T5" s="6"/>
      <c r="U5" s="6"/>
      <c r="V5" s="8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ht="15.75" customHeight="1">
      <c r="A6" s="6"/>
      <c r="B6" s="19"/>
      <c r="C6" s="6"/>
      <c r="D6" s="6"/>
      <c r="E6" s="21" t="s">
        <v>3</v>
      </c>
      <c r="F6" s="22" t="s">
        <v>4</v>
      </c>
      <c r="G6" s="23"/>
      <c r="H6" s="23"/>
      <c r="I6" s="23"/>
      <c r="J6" s="5"/>
      <c r="K6" s="5"/>
      <c r="L6" s="6"/>
      <c r="M6" s="7"/>
      <c r="N6" s="7"/>
      <c r="O6" s="6"/>
      <c r="P6" s="6"/>
      <c r="Q6" s="6"/>
      <c r="R6" s="6"/>
      <c r="S6" s="6"/>
      <c r="T6" s="6"/>
      <c r="U6" s="6"/>
      <c r="V6" s="8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ht="15.75" customHeight="1">
      <c r="A7" s="6"/>
      <c r="B7" s="19"/>
      <c r="C7" s="6"/>
      <c r="D7" s="6"/>
      <c r="E7" s="21" t="s">
        <v>5</v>
      </c>
      <c r="F7" s="24">
        <f>IF(OR($D88&lt;$D84, $E88&lt;$E84), TODAY(), IF(AND(F7&lt;&gt;"", F7&lt;&gt;0), F7, TODAY()))</f>
        <v>46307</v>
      </c>
      <c r="G7" s="23"/>
      <c r="H7" s="23"/>
      <c r="I7" s="23"/>
      <c r="J7" s="5"/>
      <c r="K7" s="5"/>
      <c r="L7" s="6"/>
      <c r="M7" s="7"/>
      <c r="N7" s="7"/>
      <c r="O7" s="6"/>
      <c r="P7" s="6"/>
      <c r="Q7" s="6"/>
      <c r="R7" s="6"/>
      <c r="S7" s="6"/>
      <c r="T7" s="6"/>
      <c r="U7" s="6"/>
      <c r="V7" s="8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ht="15.75" customHeight="1">
      <c r="A8" s="25"/>
      <c r="B8" s="26"/>
      <c r="C8" s="6"/>
      <c r="D8" s="6"/>
      <c r="E8" s="8"/>
      <c r="F8" s="6"/>
      <c r="G8" s="20"/>
      <c r="H8" s="20"/>
      <c r="I8" s="20"/>
      <c r="J8" s="5"/>
      <c r="K8" s="5"/>
      <c r="L8" s="6"/>
      <c r="M8" s="7"/>
      <c r="N8" s="7"/>
      <c r="O8" s="6"/>
      <c r="P8" s="6"/>
      <c r="Q8" s="6"/>
      <c r="R8" s="6"/>
      <c r="S8" s="6"/>
      <c r="T8" s="6"/>
      <c r="U8" s="6"/>
      <c r="V8" s="8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ht="15.75" customHeight="1">
      <c r="A9" s="27"/>
      <c r="B9" s="28"/>
      <c r="C9" s="29" t="s">
        <v>6</v>
      </c>
      <c r="D9" s="30"/>
      <c r="E9" s="30"/>
      <c r="F9" s="30"/>
      <c r="G9" s="30"/>
      <c r="H9" s="30"/>
      <c r="I9" s="30"/>
      <c r="J9" s="30"/>
      <c r="K9" s="30"/>
      <c r="L9" s="30"/>
      <c r="M9" s="31"/>
      <c r="N9" s="29" t="s">
        <v>7</v>
      </c>
      <c r="O9" s="30"/>
      <c r="P9" s="30"/>
      <c r="Q9" s="30"/>
      <c r="R9" s="30"/>
      <c r="S9" s="30"/>
      <c r="T9" s="30"/>
      <c r="U9" s="30"/>
      <c r="V9" s="31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ht="15.75" customHeight="1">
      <c r="A10" s="32"/>
      <c r="B10" s="28"/>
      <c r="C10" s="33" t="s">
        <v>8</v>
      </c>
      <c r="D10" s="34" t="s">
        <v>9</v>
      </c>
      <c r="E10" s="34" t="s">
        <v>10</v>
      </c>
      <c r="F10" s="34" t="s">
        <v>11</v>
      </c>
      <c r="G10" s="35" t="s">
        <v>12</v>
      </c>
      <c r="H10" s="35" t="s">
        <v>13</v>
      </c>
      <c r="I10" s="35" t="s">
        <v>14</v>
      </c>
      <c r="J10" s="35" t="s">
        <v>15</v>
      </c>
      <c r="K10" s="35" t="s">
        <v>16</v>
      </c>
      <c r="L10" s="34" t="s">
        <v>17</v>
      </c>
      <c r="M10" s="36" t="s">
        <v>18</v>
      </c>
      <c r="N10" s="37" t="s">
        <v>19</v>
      </c>
      <c r="O10" s="34" t="s">
        <v>20</v>
      </c>
      <c r="P10" s="34" t="s">
        <v>21</v>
      </c>
      <c r="Q10" s="34" t="s">
        <v>22</v>
      </c>
      <c r="R10" s="34" t="s">
        <v>23</v>
      </c>
      <c r="S10" s="34" t="s">
        <v>24</v>
      </c>
      <c r="T10" s="38" t="s">
        <v>25</v>
      </c>
      <c r="U10" s="38" t="s">
        <v>26</v>
      </c>
      <c r="V10" s="36" t="s">
        <v>27</v>
      </c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</row>
    <row r="11" ht="15.75" customHeight="1">
      <c r="A11" s="40"/>
      <c r="B11" s="41"/>
      <c r="C11" s="42" t="s">
        <v>28</v>
      </c>
      <c r="D11" s="43" t="s">
        <v>29</v>
      </c>
      <c r="E11" s="43" t="s">
        <v>30</v>
      </c>
      <c r="F11" s="44" t="s">
        <v>31</v>
      </c>
      <c r="G11" s="45" t="s">
        <v>32</v>
      </c>
      <c r="H11" s="45" t="s">
        <v>33</v>
      </c>
      <c r="I11" s="46" t="s">
        <v>34</v>
      </c>
      <c r="J11" s="45" t="s">
        <v>35</v>
      </c>
      <c r="K11" s="45" t="s">
        <v>36</v>
      </c>
      <c r="L11" s="47" t="s">
        <v>37</v>
      </c>
      <c r="M11" s="48" t="s">
        <v>38</v>
      </c>
      <c r="N11" s="49" t="s">
        <v>39</v>
      </c>
      <c r="O11" s="44" t="s">
        <v>4</v>
      </c>
      <c r="P11" s="44" t="s">
        <v>40</v>
      </c>
      <c r="Q11" s="44" t="s">
        <v>30</v>
      </c>
      <c r="R11" s="50"/>
      <c r="S11" s="51" t="str">
        <f t="shared" ref="S11:S76" si="1">IF($T11&lt;&gt;"Sin Ejecutar", IF($S11="", TODAY(), $S11), "")</f>
        <v/>
      </c>
      <c r="T11" s="44" t="s">
        <v>41</v>
      </c>
      <c r="U11" s="44"/>
      <c r="V11" s="52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</row>
    <row r="12" ht="15.75" customHeight="1">
      <c r="A12" s="40"/>
      <c r="B12" s="41"/>
      <c r="C12" s="49" t="s">
        <v>42</v>
      </c>
      <c r="D12" s="43" t="s">
        <v>29</v>
      </c>
      <c r="E12" s="43" t="s">
        <v>43</v>
      </c>
      <c r="F12" s="44" t="s">
        <v>44</v>
      </c>
      <c r="G12" s="45" t="s">
        <v>45</v>
      </c>
      <c r="H12" s="45" t="s">
        <v>46</v>
      </c>
      <c r="I12" s="46" t="s">
        <v>47</v>
      </c>
      <c r="J12" s="45" t="s">
        <v>48</v>
      </c>
      <c r="K12" s="45" t="s">
        <v>49</v>
      </c>
      <c r="L12" s="47" t="s">
        <v>37</v>
      </c>
      <c r="M12" s="48" t="s">
        <v>38</v>
      </c>
      <c r="N12" s="49" t="s">
        <v>39</v>
      </c>
      <c r="O12" s="44" t="s">
        <v>4</v>
      </c>
      <c r="P12" s="44" t="s">
        <v>40</v>
      </c>
      <c r="Q12" s="44" t="s">
        <v>50</v>
      </c>
      <c r="R12" s="50"/>
      <c r="S12" s="53" t="str">
        <f t="shared" si="1"/>
        <v/>
      </c>
      <c r="T12" s="44" t="s">
        <v>41</v>
      </c>
      <c r="U12" s="44"/>
      <c r="V12" s="52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</row>
    <row r="13" ht="15.75" customHeight="1">
      <c r="A13" s="40"/>
      <c r="B13" s="41"/>
      <c r="C13" s="49" t="s">
        <v>42</v>
      </c>
      <c r="D13" s="43" t="s">
        <v>29</v>
      </c>
      <c r="E13" s="43" t="s">
        <v>43</v>
      </c>
      <c r="F13" s="44" t="s">
        <v>51</v>
      </c>
      <c r="G13" s="45" t="s">
        <v>52</v>
      </c>
      <c r="H13" s="45" t="s">
        <v>53</v>
      </c>
      <c r="I13" s="46" t="s">
        <v>54</v>
      </c>
      <c r="J13" s="45" t="s">
        <v>55</v>
      </c>
      <c r="K13" s="45" t="s">
        <v>56</v>
      </c>
      <c r="L13" s="47" t="s">
        <v>37</v>
      </c>
      <c r="M13" s="48" t="s">
        <v>38</v>
      </c>
      <c r="N13" s="49" t="s">
        <v>39</v>
      </c>
      <c r="O13" s="44" t="s">
        <v>4</v>
      </c>
      <c r="P13" s="44" t="s">
        <v>40</v>
      </c>
      <c r="Q13" s="44" t="s">
        <v>50</v>
      </c>
      <c r="R13" s="50"/>
      <c r="S13" s="53" t="str">
        <f t="shared" si="1"/>
        <v/>
      </c>
      <c r="T13" s="44" t="s">
        <v>41</v>
      </c>
      <c r="U13" s="44"/>
      <c r="V13" s="52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</row>
    <row r="14" ht="15.75" customHeight="1">
      <c r="A14" s="40"/>
      <c r="B14" s="41"/>
      <c r="C14" s="49" t="s">
        <v>42</v>
      </c>
      <c r="D14" s="43" t="s">
        <v>29</v>
      </c>
      <c r="E14" s="43" t="s">
        <v>57</v>
      </c>
      <c r="F14" s="44" t="s">
        <v>58</v>
      </c>
      <c r="G14" s="45" t="s">
        <v>59</v>
      </c>
      <c r="H14" s="45" t="s">
        <v>60</v>
      </c>
      <c r="I14" s="46" t="s">
        <v>61</v>
      </c>
      <c r="J14" s="45" t="s">
        <v>62</v>
      </c>
      <c r="K14" s="45" t="s">
        <v>63</v>
      </c>
      <c r="L14" s="47" t="s">
        <v>64</v>
      </c>
      <c r="M14" s="48" t="s">
        <v>38</v>
      </c>
      <c r="N14" s="49" t="s">
        <v>39</v>
      </c>
      <c r="O14" s="44" t="s">
        <v>4</v>
      </c>
      <c r="P14" s="44" t="s">
        <v>40</v>
      </c>
      <c r="Q14" s="44" t="s">
        <v>50</v>
      </c>
      <c r="R14" s="50"/>
      <c r="S14" s="53" t="str">
        <f t="shared" si="1"/>
        <v/>
      </c>
      <c r="T14" s="44" t="s">
        <v>41</v>
      </c>
      <c r="U14" s="44"/>
      <c r="V14" s="52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</row>
    <row r="15" ht="15.75" customHeight="1">
      <c r="A15" s="40"/>
      <c r="B15" s="41"/>
      <c r="C15" s="49" t="s">
        <v>42</v>
      </c>
      <c r="D15" s="43" t="s">
        <v>29</v>
      </c>
      <c r="E15" s="43" t="s">
        <v>57</v>
      </c>
      <c r="F15" s="44" t="s">
        <v>65</v>
      </c>
      <c r="G15" s="45" t="s">
        <v>66</v>
      </c>
      <c r="H15" s="45" t="s">
        <v>67</v>
      </c>
      <c r="I15" s="46" t="s">
        <v>68</v>
      </c>
      <c r="J15" s="45" t="s">
        <v>69</v>
      </c>
      <c r="K15" s="45" t="s">
        <v>70</v>
      </c>
      <c r="L15" s="47" t="s">
        <v>64</v>
      </c>
      <c r="M15" s="48" t="s">
        <v>38</v>
      </c>
      <c r="N15" s="49" t="s">
        <v>39</v>
      </c>
      <c r="O15" s="44" t="s">
        <v>4</v>
      </c>
      <c r="P15" s="44" t="s">
        <v>40</v>
      </c>
      <c r="Q15" s="44" t="s">
        <v>50</v>
      </c>
      <c r="R15" s="50"/>
      <c r="S15" s="53" t="str">
        <f t="shared" si="1"/>
        <v/>
      </c>
      <c r="T15" s="44" t="s">
        <v>41</v>
      </c>
      <c r="U15" s="44"/>
      <c r="V15" s="52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</row>
    <row r="16" ht="15.75" customHeight="1">
      <c r="A16" s="40"/>
      <c r="B16" s="41"/>
      <c r="C16" s="49" t="s">
        <v>42</v>
      </c>
      <c r="D16" s="43" t="s">
        <v>29</v>
      </c>
      <c r="E16" s="43" t="s">
        <v>57</v>
      </c>
      <c r="F16" s="44" t="s">
        <v>71</v>
      </c>
      <c r="G16" s="45" t="s">
        <v>72</v>
      </c>
      <c r="H16" s="45" t="s">
        <v>73</v>
      </c>
      <c r="I16" s="46" t="s">
        <v>74</v>
      </c>
      <c r="J16" s="45" t="s">
        <v>75</v>
      </c>
      <c r="K16" s="45" t="s">
        <v>76</v>
      </c>
      <c r="L16" s="47" t="s">
        <v>64</v>
      </c>
      <c r="M16" s="48" t="s">
        <v>38</v>
      </c>
      <c r="N16" s="49" t="s">
        <v>39</v>
      </c>
      <c r="O16" s="44" t="s">
        <v>4</v>
      </c>
      <c r="P16" s="44" t="s">
        <v>40</v>
      </c>
      <c r="Q16" s="44" t="s">
        <v>50</v>
      </c>
      <c r="R16" s="50"/>
      <c r="S16" s="53" t="str">
        <f t="shared" si="1"/>
        <v/>
      </c>
      <c r="T16" s="44" t="s">
        <v>41</v>
      </c>
      <c r="U16" s="44"/>
      <c r="V16" s="52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</row>
    <row r="17" ht="15.75" customHeight="1">
      <c r="A17" s="40"/>
      <c r="B17" s="41"/>
      <c r="C17" s="49" t="s">
        <v>42</v>
      </c>
      <c r="D17" s="43" t="s">
        <v>29</v>
      </c>
      <c r="E17" s="43" t="s">
        <v>43</v>
      </c>
      <c r="F17" s="44" t="s">
        <v>77</v>
      </c>
      <c r="G17" s="45" t="s">
        <v>78</v>
      </c>
      <c r="H17" s="45" t="s">
        <v>79</v>
      </c>
      <c r="I17" s="46" t="s">
        <v>80</v>
      </c>
      <c r="J17" s="45" t="s">
        <v>81</v>
      </c>
      <c r="K17" s="45" t="s">
        <v>82</v>
      </c>
      <c r="L17" s="47" t="s">
        <v>37</v>
      </c>
      <c r="M17" s="48" t="s">
        <v>38</v>
      </c>
      <c r="N17" s="49" t="s">
        <v>39</v>
      </c>
      <c r="O17" s="44" t="s">
        <v>4</v>
      </c>
      <c r="P17" s="44" t="s">
        <v>40</v>
      </c>
      <c r="Q17" s="44" t="s">
        <v>50</v>
      </c>
      <c r="R17" s="50"/>
      <c r="S17" s="53" t="str">
        <f t="shared" si="1"/>
        <v/>
      </c>
      <c r="T17" s="44" t="s">
        <v>41</v>
      </c>
      <c r="U17" s="44"/>
      <c r="V17" s="52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</row>
    <row r="18" ht="15.75" customHeight="1">
      <c r="A18" s="40"/>
      <c r="B18" s="41"/>
      <c r="C18" s="49" t="s">
        <v>42</v>
      </c>
      <c r="D18" s="43" t="s">
        <v>29</v>
      </c>
      <c r="E18" s="43" t="s">
        <v>43</v>
      </c>
      <c r="F18" s="44" t="s">
        <v>83</v>
      </c>
      <c r="G18" s="45" t="s">
        <v>84</v>
      </c>
      <c r="H18" s="45" t="s">
        <v>85</v>
      </c>
      <c r="I18" s="46" t="s">
        <v>86</v>
      </c>
      <c r="J18" s="45" t="s">
        <v>87</v>
      </c>
      <c r="K18" s="45" t="s">
        <v>88</v>
      </c>
      <c r="L18" s="47" t="s">
        <v>37</v>
      </c>
      <c r="M18" s="48" t="s">
        <v>38</v>
      </c>
      <c r="N18" s="49" t="s">
        <v>39</v>
      </c>
      <c r="O18" s="44" t="s">
        <v>4</v>
      </c>
      <c r="P18" s="44" t="s">
        <v>40</v>
      </c>
      <c r="Q18" s="44" t="s">
        <v>50</v>
      </c>
      <c r="R18" s="50"/>
      <c r="S18" s="53" t="str">
        <f t="shared" si="1"/>
        <v/>
      </c>
      <c r="T18" s="44" t="s">
        <v>41</v>
      </c>
      <c r="U18" s="44"/>
      <c r="V18" s="52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</row>
    <row r="19" ht="15.75" customHeight="1">
      <c r="A19" s="40"/>
      <c r="B19" s="41"/>
      <c r="C19" s="49" t="s">
        <v>42</v>
      </c>
      <c r="D19" s="43" t="s">
        <v>29</v>
      </c>
      <c r="E19" s="43" t="s">
        <v>57</v>
      </c>
      <c r="F19" s="44" t="s">
        <v>89</v>
      </c>
      <c r="G19" s="45" t="s">
        <v>90</v>
      </c>
      <c r="H19" s="45" t="s">
        <v>91</v>
      </c>
      <c r="I19" s="46" t="s">
        <v>92</v>
      </c>
      <c r="J19" s="45" t="s">
        <v>93</v>
      </c>
      <c r="K19" s="45" t="s">
        <v>94</v>
      </c>
      <c r="L19" s="47" t="s">
        <v>64</v>
      </c>
      <c r="M19" s="48" t="s">
        <v>38</v>
      </c>
      <c r="N19" s="49" t="s">
        <v>39</v>
      </c>
      <c r="O19" s="44" t="s">
        <v>4</v>
      </c>
      <c r="P19" s="44" t="s">
        <v>40</v>
      </c>
      <c r="Q19" s="44" t="s">
        <v>50</v>
      </c>
      <c r="R19" s="50"/>
      <c r="S19" s="53" t="str">
        <f t="shared" si="1"/>
        <v/>
      </c>
      <c r="T19" s="44" t="s">
        <v>41</v>
      </c>
      <c r="U19" s="44"/>
      <c r="V19" s="52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</row>
    <row r="20" ht="15.75" customHeight="1">
      <c r="A20" s="40"/>
      <c r="B20" s="41"/>
      <c r="C20" s="49" t="s">
        <v>42</v>
      </c>
      <c r="D20" s="43" t="s">
        <v>29</v>
      </c>
      <c r="E20" s="43" t="s">
        <v>57</v>
      </c>
      <c r="F20" s="44" t="s">
        <v>95</v>
      </c>
      <c r="G20" s="45" t="s">
        <v>96</v>
      </c>
      <c r="H20" s="45" t="s">
        <v>97</v>
      </c>
      <c r="I20" s="46" t="s">
        <v>98</v>
      </c>
      <c r="J20" s="45" t="s">
        <v>99</v>
      </c>
      <c r="K20" s="45" t="s">
        <v>100</v>
      </c>
      <c r="L20" s="47" t="s">
        <v>64</v>
      </c>
      <c r="M20" s="48" t="s">
        <v>38</v>
      </c>
      <c r="N20" s="49" t="s">
        <v>39</v>
      </c>
      <c r="O20" s="44" t="s">
        <v>4</v>
      </c>
      <c r="P20" s="44" t="s">
        <v>40</v>
      </c>
      <c r="Q20" s="44" t="s">
        <v>50</v>
      </c>
      <c r="R20" s="50"/>
      <c r="S20" s="53" t="str">
        <f t="shared" si="1"/>
        <v/>
      </c>
      <c r="T20" s="44" t="s">
        <v>41</v>
      </c>
      <c r="U20" s="44"/>
      <c r="V20" s="52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</row>
    <row r="21" ht="15.75" customHeight="1">
      <c r="A21" s="40"/>
      <c r="B21" s="41"/>
      <c r="C21" s="49" t="s">
        <v>42</v>
      </c>
      <c r="D21" s="43" t="s">
        <v>29</v>
      </c>
      <c r="E21" s="43" t="s">
        <v>43</v>
      </c>
      <c r="F21" s="44" t="s">
        <v>101</v>
      </c>
      <c r="G21" s="45" t="s">
        <v>102</v>
      </c>
      <c r="H21" s="45" t="s">
        <v>103</v>
      </c>
      <c r="I21" s="46" t="s">
        <v>104</v>
      </c>
      <c r="J21" s="45" t="s">
        <v>105</v>
      </c>
      <c r="K21" s="45" t="s">
        <v>106</v>
      </c>
      <c r="L21" s="47" t="s">
        <v>37</v>
      </c>
      <c r="M21" s="48" t="s">
        <v>38</v>
      </c>
      <c r="N21" s="49" t="s">
        <v>39</v>
      </c>
      <c r="O21" s="44" t="s">
        <v>4</v>
      </c>
      <c r="P21" s="44" t="s">
        <v>40</v>
      </c>
      <c r="Q21" s="44" t="s">
        <v>50</v>
      </c>
      <c r="R21" s="50"/>
      <c r="S21" s="53" t="str">
        <f t="shared" si="1"/>
        <v/>
      </c>
      <c r="T21" s="44" t="s">
        <v>41</v>
      </c>
      <c r="U21" s="44"/>
      <c r="V21" s="52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</row>
    <row r="22" ht="15.75" customHeight="1">
      <c r="A22" s="40"/>
      <c r="B22" s="41"/>
      <c r="C22" s="49" t="s">
        <v>42</v>
      </c>
      <c r="D22" s="43" t="s">
        <v>107</v>
      </c>
      <c r="E22" s="43" t="s">
        <v>108</v>
      </c>
      <c r="F22" s="44" t="s">
        <v>109</v>
      </c>
      <c r="G22" s="45" t="s">
        <v>110</v>
      </c>
      <c r="H22" s="45" t="s">
        <v>111</v>
      </c>
      <c r="I22" s="46" t="s">
        <v>112</v>
      </c>
      <c r="J22" s="45" t="s">
        <v>113</v>
      </c>
      <c r="K22" s="45" t="s">
        <v>114</v>
      </c>
      <c r="L22" s="47" t="s">
        <v>37</v>
      </c>
      <c r="M22" s="48" t="s">
        <v>38</v>
      </c>
      <c r="N22" s="49" t="s">
        <v>39</v>
      </c>
      <c r="O22" s="44" t="s">
        <v>4</v>
      </c>
      <c r="P22" s="44" t="s">
        <v>40</v>
      </c>
      <c r="Q22" s="44" t="s">
        <v>50</v>
      </c>
      <c r="R22" s="50"/>
      <c r="S22" s="53" t="str">
        <f t="shared" si="1"/>
        <v/>
      </c>
      <c r="T22" s="44" t="s">
        <v>41</v>
      </c>
      <c r="U22" s="44"/>
      <c r="V22" s="52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</row>
    <row r="23" ht="15.75" customHeight="1">
      <c r="A23" s="40"/>
      <c r="B23" s="41"/>
      <c r="C23" s="49" t="s">
        <v>42</v>
      </c>
      <c r="D23" s="43" t="s">
        <v>107</v>
      </c>
      <c r="E23" s="43" t="s">
        <v>57</v>
      </c>
      <c r="F23" s="44" t="s">
        <v>115</v>
      </c>
      <c r="G23" s="45" t="s">
        <v>116</v>
      </c>
      <c r="H23" s="45" t="s">
        <v>117</v>
      </c>
      <c r="I23" s="46" t="s">
        <v>118</v>
      </c>
      <c r="J23" s="45" t="s">
        <v>119</v>
      </c>
      <c r="K23" s="45" t="s">
        <v>120</v>
      </c>
      <c r="L23" s="47" t="s">
        <v>37</v>
      </c>
      <c r="M23" s="48" t="s">
        <v>38</v>
      </c>
      <c r="N23" s="49" t="s">
        <v>39</v>
      </c>
      <c r="O23" s="44" t="s">
        <v>4</v>
      </c>
      <c r="P23" s="44" t="s">
        <v>40</v>
      </c>
      <c r="Q23" s="44" t="s">
        <v>50</v>
      </c>
      <c r="R23" s="50"/>
      <c r="S23" s="53" t="str">
        <f t="shared" si="1"/>
        <v/>
      </c>
      <c r="T23" s="44" t="s">
        <v>41</v>
      </c>
      <c r="U23" s="44"/>
      <c r="V23" s="52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</row>
    <row r="24" ht="15.75" customHeight="1">
      <c r="A24" s="40"/>
      <c r="B24" s="41"/>
      <c r="C24" s="49" t="s">
        <v>42</v>
      </c>
      <c r="D24" s="43" t="s">
        <v>107</v>
      </c>
      <c r="E24" s="43" t="s">
        <v>57</v>
      </c>
      <c r="F24" s="44" t="s">
        <v>121</v>
      </c>
      <c r="G24" s="45" t="s">
        <v>122</v>
      </c>
      <c r="H24" s="45" t="s">
        <v>123</v>
      </c>
      <c r="I24" s="46" t="s">
        <v>124</v>
      </c>
      <c r="J24" s="45" t="s">
        <v>125</v>
      </c>
      <c r="K24" s="45" t="s">
        <v>126</v>
      </c>
      <c r="L24" s="47" t="s">
        <v>37</v>
      </c>
      <c r="M24" s="48" t="s">
        <v>38</v>
      </c>
      <c r="N24" s="49" t="s">
        <v>39</v>
      </c>
      <c r="O24" s="44" t="s">
        <v>4</v>
      </c>
      <c r="P24" s="44" t="s">
        <v>40</v>
      </c>
      <c r="Q24" s="44" t="s">
        <v>50</v>
      </c>
      <c r="R24" s="50"/>
      <c r="S24" s="53" t="str">
        <f t="shared" si="1"/>
        <v/>
      </c>
      <c r="T24" s="44" t="s">
        <v>41</v>
      </c>
      <c r="U24" s="44"/>
      <c r="V24" s="52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</row>
    <row r="25" ht="15.75" customHeight="1">
      <c r="A25" s="40"/>
      <c r="B25" s="41"/>
      <c r="C25" s="49" t="s">
        <v>42</v>
      </c>
      <c r="D25" s="43" t="s">
        <v>127</v>
      </c>
      <c r="E25" s="43" t="s">
        <v>128</v>
      </c>
      <c r="F25" s="44" t="s">
        <v>129</v>
      </c>
      <c r="G25" s="45" t="s">
        <v>130</v>
      </c>
      <c r="H25" s="45" t="s">
        <v>131</v>
      </c>
      <c r="I25" s="46" t="s">
        <v>132</v>
      </c>
      <c r="J25" s="45" t="s">
        <v>133</v>
      </c>
      <c r="K25" s="45" t="s">
        <v>134</v>
      </c>
      <c r="L25" s="47" t="s">
        <v>37</v>
      </c>
      <c r="M25" s="48" t="s">
        <v>38</v>
      </c>
      <c r="N25" s="49" t="s">
        <v>39</v>
      </c>
      <c r="O25" s="44" t="s">
        <v>4</v>
      </c>
      <c r="P25" s="44" t="s">
        <v>40</v>
      </c>
      <c r="Q25" s="44" t="s">
        <v>50</v>
      </c>
      <c r="R25" s="50"/>
      <c r="S25" s="53" t="str">
        <f t="shared" si="1"/>
        <v/>
      </c>
      <c r="T25" s="44" t="s">
        <v>41</v>
      </c>
      <c r="U25" s="44"/>
      <c r="V25" s="52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</row>
    <row r="26" ht="15.75" customHeight="1">
      <c r="A26" s="40"/>
      <c r="B26" s="41"/>
      <c r="C26" s="49" t="s">
        <v>42</v>
      </c>
      <c r="D26" s="43" t="s">
        <v>127</v>
      </c>
      <c r="E26" s="43" t="s">
        <v>128</v>
      </c>
      <c r="F26" s="44" t="s">
        <v>135</v>
      </c>
      <c r="G26" s="45" t="s">
        <v>136</v>
      </c>
      <c r="H26" s="45" t="s">
        <v>137</v>
      </c>
      <c r="I26" s="46" t="s">
        <v>138</v>
      </c>
      <c r="J26" s="45" t="s">
        <v>139</v>
      </c>
      <c r="K26" s="45" t="s">
        <v>140</v>
      </c>
      <c r="L26" s="47" t="s">
        <v>37</v>
      </c>
      <c r="M26" s="48" t="s">
        <v>38</v>
      </c>
      <c r="N26" s="49" t="s">
        <v>39</v>
      </c>
      <c r="O26" s="44" t="s">
        <v>4</v>
      </c>
      <c r="P26" s="44" t="s">
        <v>40</v>
      </c>
      <c r="Q26" s="44" t="s">
        <v>50</v>
      </c>
      <c r="R26" s="50"/>
      <c r="S26" s="53" t="str">
        <f t="shared" si="1"/>
        <v/>
      </c>
      <c r="T26" s="44" t="s">
        <v>41</v>
      </c>
      <c r="U26" s="44"/>
      <c r="V26" s="52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</row>
    <row r="27" ht="15.75" customHeight="1">
      <c r="A27" s="40"/>
      <c r="B27" s="41"/>
      <c r="C27" s="49" t="s">
        <v>42</v>
      </c>
      <c r="D27" s="43" t="s">
        <v>127</v>
      </c>
      <c r="E27" s="43" t="s">
        <v>128</v>
      </c>
      <c r="F27" s="44" t="s">
        <v>141</v>
      </c>
      <c r="G27" s="45" t="s">
        <v>142</v>
      </c>
      <c r="H27" s="45" t="s">
        <v>143</v>
      </c>
      <c r="I27" s="46" t="s">
        <v>144</v>
      </c>
      <c r="J27" s="45" t="s">
        <v>145</v>
      </c>
      <c r="K27" s="45" t="s">
        <v>146</v>
      </c>
      <c r="L27" s="47" t="s">
        <v>37</v>
      </c>
      <c r="M27" s="48" t="s">
        <v>38</v>
      </c>
      <c r="N27" s="49" t="s">
        <v>39</v>
      </c>
      <c r="O27" s="44" t="s">
        <v>4</v>
      </c>
      <c r="P27" s="44" t="s">
        <v>40</v>
      </c>
      <c r="Q27" s="44" t="s">
        <v>50</v>
      </c>
      <c r="R27" s="50"/>
      <c r="S27" s="53" t="str">
        <f t="shared" si="1"/>
        <v/>
      </c>
      <c r="T27" s="44" t="s">
        <v>41</v>
      </c>
      <c r="U27" s="44"/>
      <c r="V27" s="52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</row>
    <row r="28" ht="15.75" customHeight="1">
      <c r="A28" s="40"/>
      <c r="B28" s="41"/>
      <c r="C28" s="49" t="s">
        <v>42</v>
      </c>
      <c r="D28" s="43" t="s">
        <v>127</v>
      </c>
      <c r="E28" s="43" t="s">
        <v>128</v>
      </c>
      <c r="F28" s="44" t="s">
        <v>147</v>
      </c>
      <c r="G28" s="45" t="s">
        <v>148</v>
      </c>
      <c r="H28" s="45" t="s">
        <v>149</v>
      </c>
      <c r="I28" s="46" t="s">
        <v>150</v>
      </c>
      <c r="J28" s="45" t="s">
        <v>151</v>
      </c>
      <c r="K28" s="45" t="s">
        <v>152</v>
      </c>
      <c r="L28" s="47" t="s">
        <v>153</v>
      </c>
      <c r="M28" s="48" t="s">
        <v>38</v>
      </c>
      <c r="N28" s="49" t="s">
        <v>39</v>
      </c>
      <c r="O28" s="44" t="s">
        <v>4</v>
      </c>
      <c r="P28" s="44" t="s">
        <v>40</v>
      </c>
      <c r="Q28" s="44" t="s">
        <v>50</v>
      </c>
      <c r="R28" s="50"/>
      <c r="S28" s="53" t="str">
        <f t="shared" si="1"/>
        <v/>
      </c>
      <c r="T28" s="44" t="s">
        <v>41</v>
      </c>
      <c r="U28" s="44"/>
      <c r="V28" s="52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</row>
    <row r="29" ht="15.75" customHeight="1">
      <c r="A29" s="40"/>
      <c r="B29" s="41"/>
      <c r="C29" s="49" t="s">
        <v>42</v>
      </c>
      <c r="D29" s="43" t="s">
        <v>29</v>
      </c>
      <c r="E29" s="43" t="s">
        <v>43</v>
      </c>
      <c r="F29" s="44" t="s">
        <v>154</v>
      </c>
      <c r="G29" s="45" t="s">
        <v>155</v>
      </c>
      <c r="H29" s="45" t="s">
        <v>156</v>
      </c>
      <c r="I29" s="46" t="s">
        <v>157</v>
      </c>
      <c r="J29" s="45" t="s">
        <v>158</v>
      </c>
      <c r="K29" s="45" t="s">
        <v>159</v>
      </c>
      <c r="L29" s="47" t="s">
        <v>64</v>
      </c>
      <c r="M29" s="48" t="s">
        <v>38</v>
      </c>
      <c r="N29" s="49" t="s">
        <v>39</v>
      </c>
      <c r="O29" s="44" t="s">
        <v>4</v>
      </c>
      <c r="P29" s="44" t="s">
        <v>40</v>
      </c>
      <c r="Q29" s="44" t="s">
        <v>50</v>
      </c>
      <c r="R29" s="50"/>
      <c r="S29" s="53" t="str">
        <f t="shared" si="1"/>
        <v/>
      </c>
      <c r="T29" s="44" t="s">
        <v>41</v>
      </c>
      <c r="U29" s="44"/>
      <c r="V29" s="52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</row>
    <row r="30" ht="15.75" customHeight="1">
      <c r="A30" s="40"/>
      <c r="B30" s="41"/>
      <c r="C30" s="49" t="s">
        <v>42</v>
      </c>
      <c r="D30" s="43" t="s">
        <v>29</v>
      </c>
      <c r="E30" s="43" t="s">
        <v>43</v>
      </c>
      <c r="F30" s="44" t="s">
        <v>160</v>
      </c>
      <c r="G30" s="45" t="s">
        <v>161</v>
      </c>
      <c r="H30" s="45" t="s">
        <v>162</v>
      </c>
      <c r="I30" s="46" t="s">
        <v>163</v>
      </c>
      <c r="J30" s="45" t="s">
        <v>164</v>
      </c>
      <c r="K30" s="45" t="s">
        <v>165</v>
      </c>
      <c r="L30" s="47" t="s">
        <v>64</v>
      </c>
      <c r="M30" s="48" t="s">
        <v>38</v>
      </c>
      <c r="N30" s="49" t="s">
        <v>39</v>
      </c>
      <c r="O30" s="44" t="s">
        <v>4</v>
      </c>
      <c r="P30" s="44" t="s">
        <v>40</v>
      </c>
      <c r="Q30" s="44" t="s">
        <v>50</v>
      </c>
      <c r="R30" s="50"/>
      <c r="S30" s="53" t="str">
        <f t="shared" si="1"/>
        <v/>
      </c>
      <c r="T30" s="44" t="s">
        <v>41</v>
      </c>
      <c r="U30" s="44"/>
      <c r="V30" s="52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ht="15.75" customHeight="1">
      <c r="A31" s="40"/>
      <c r="B31" s="41"/>
      <c r="C31" s="49" t="s">
        <v>42</v>
      </c>
      <c r="D31" s="43" t="s">
        <v>107</v>
      </c>
      <c r="E31" s="43" t="s">
        <v>108</v>
      </c>
      <c r="F31" s="44" t="s">
        <v>166</v>
      </c>
      <c r="G31" s="45" t="s">
        <v>167</v>
      </c>
      <c r="H31" s="45" t="s">
        <v>168</v>
      </c>
      <c r="I31" s="46" t="s">
        <v>169</v>
      </c>
      <c r="J31" s="45" t="s">
        <v>170</v>
      </c>
      <c r="K31" s="45" t="s">
        <v>171</v>
      </c>
      <c r="L31" s="47" t="s">
        <v>37</v>
      </c>
      <c r="M31" s="48" t="s">
        <v>38</v>
      </c>
      <c r="N31" s="49" t="s">
        <v>39</v>
      </c>
      <c r="O31" s="44" t="s">
        <v>4</v>
      </c>
      <c r="P31" s="44" t="s">
        <v>40</v>
      </c>
      <c r="Q31" s="44" t="s">
        <v>50</v>
      </c>
      <c r="R31" s="50"/>
      <c r="S31" s="53" t="str">
        <f t="shared" si="1"/>
        <v/>
      </c>
      <c r="T31" s="44" t="s">
        <v>41</v>
      </c>
      <c r="U31" s="44"/>
      <c r="V31" s="52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ht="15.75" customHeight="1">
      <c r="A32" s="40"/>
      <c r="B32" s="41"/>
      <c r="C32" s="49" t="s">
        <v>42</v>
      </c>
      <c r="D32" s="43" t="s">
        <v>127</v>
      </c>
      <c r="E32" s="43" t="s">
        <v>128</v>
      </c>
      <c r="F32" s="44" t="s">
        <v>172</v>
      </c>
      <c r="G32" s="45" t="s">
        <v>173</v>
      </c>
      <c r="H32" s="45" t="s">
        <v>174</v>
      </c>
      <c r="I32" s="46" t="s">
        <v>175</v>
      </c>
      <c r="J32" s="45" t="s">
        <v>176</v>
      </c>
      <c r="K32" s="45" t="s">
        <v>177</v>
      </c>
      <c r="L32" s="47" t="s">
        <v>64</v>
      </c>
      <c r="M32" s="48" t="s">
        <v>38</v>
      </c>
      <c r="N32" s="49" t="s">
        <v>39</v>
      </c>
      <c r="O32" s="44" t="s">
        <v>4</v>
      </c>
      <c r="P32" s="44" t="s">
        <v>40</v>
      </c>
      <c r="Q32" s="44" t="s">
        <v>50</v>
      </c>
      <c r="R32" s="50"/>
      <c r="S32" s="53" t="str">
        <f t="shared" si="1"/>
        <v/>
      </c>
      <c r="T32" s="44" t="s">
        <v>41</v>
      </c>
      <c r="U32" s="44"/>
      <c r="V32" s="52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ht="15.75" customHeight="1">
      <c r="A33" s="40"/>
      <c r="B33" s="41"/>
      <c r="C33" s="49" t="s">
        <v>42</v>
      </c>
      <c r="D33" s="43" t="s">
        <v>127</v>
      </c>
      <c r="E33" s="43" t="s">
        <v>128</v>
      </c>
      <c r="F33" s="44" t="s">
        <v>178</v>
      </c>
      <c r="G33" s="45" t="s">
        <v>179</v>
      </c>
      <c r="H33" s="45" t="s">
        <v>180</v>
      </c>
      <c r="I33" s="46" t="s">
        <v>181</v>
      </c>
      <c r="J33" s="45" t="s">
        <v>182</v>
      </c>
      <c r="K33" s="45" t="s">
        <v>183</v>
      </c>
      <c r="L33" s="47" t="s">
        <v>37</v>
      </c>
      <c r="M33" s="48" t="s">
        <v>38</v>
      </c>
      <c r="N33" s="49" t="s">
        <v>39</v>
      </c>
      <c r="O33" s="44" t="s">
        <v>4</v>
      </c>
      <c r="P33" s="44" t="s">
        <v>40</v>
      </c>
      <c r="Q33" s="44" t="s">
        <v>184</v>
      </c>
      <c r="R33" s="50"/>
      <c r="S33" s="53" t="str">
        <f t="shared" si="1"/>
        <v/>
      </c>
      <c r="T33" s="44" t="s">
        <v>41</v>
      </c>
      <c r="U33" s="44"/>
      <c r="V33" s="52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</row>
    <row r="34" ht="15.75" customHeight="1">
      <c r="A34" s="40"/>
      <c r="B34" s="41"/>
      <c r="C34" s="49" t="s">
        <v>42</v>
      </c>
      <c r="D34" s="43" t="s">
        <v>29</v>
      </c>
      <c r="E34" s="43" t="s">
        <v>30</v>
      </c>
      <c r="F34" s="44" t="s">
        <v>185</v>
      </c>
      <c r="G34" s="45" t="s">
        <v>186</v>
      </c>
      <c r="H34" s="45" t="s">
        <v>187</v>
      </c>
      <c r="I34" s="46" t="s">
        <v>188</v>
      </c>
      <c r="J34" s="45" t="s">
        <v>189</v>
      </c>
      <c r="K34" s="45" t="s">
        <v>190</v>
      </c>
      <c r="L34" s="47" t="s">
        <v>64</v>
      </c>
      <c r="M34" s="48" t="s">
        <v>38</v>
      </c>
      <c r="N34" s="49" t="s">
        <v>39</v>
      </c>
      <c r="O34" s="44" t="s">
        <v>4</v>
      </c>
      <c r="P34" s="44" t="s">
        <v>40</v>
      </c>
      <c r="Q34" s="44" t="s">
        <v>184</v>
      </c>
      <c r="R34" s="50"/>
      <c r="S34" s="53" t="str">
        <f t="shared" si="1"/>
        <v/>
      </c>
      <c r="T34" s="44" t="s">
        <v>41</v>
      </c>
      <c r="U34" s="44"/>
      <c r="V34" s="52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</row>
    <row r="35" ht="15.75" customHeight="1">
      <c r="A35" s="40"/>
      <c r="B35" s="41"/>
      <c r="C35" s="49" t="s">
        <v>42</v>
      </c>
      <c r="D35" s="43" t="s">
        <v>127</v>
      </c>
      <c r="E35" s="43" t="s">
        <v>128</v>
      </c>
      <c r="F35" s="44" t="s">
        <v>191</v>
      </c>
      <c r="G35" s="45" t="s">
        <v>192</v>
      </c>
      <c r="H35" s="45" t="s">
        <v>193</v>
      </c>
      <c r="I35" s="46" t="s">
        <v>194</v>
      </c>
      <c r="J35" s="45" t="s">
        <v>195</v>
      </c>
      <c r="K35" s="45" t="s">
        <v>196</v>
      </c>
      <c r="L35" s="47" t="s">
        <v>37</v>
      </c>
      <c r="M35" s="48" t="s">
        <v>38</v>
      </c>
      <c r="N35" s="49" t="s">
        <v>39</v>
      </c>
      <c r="O35" s="44" t="s">
        <v>4</v>
      </c>
      <c r="P35" s="44" t="s">
        <v>40</v>
      </c>
      <c r="Q35" s="44" t="s">
        <v>184</v>
      </c>
      <c r="R35" s="50"/>
      <c r="S35" s="53" t="str">
        <f t="shared" si="1"/>
        <v/>
      </c>
      <c r="T35" s="44" t="s">
        <v>41</v>
      </c>
      <c r="U35" s="44"/>
      <c r="V35" s="52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</row>
    <row r="36" ht="15.75" customHeight="1">
      <c r="A36" s="40"/>
      <c r="B36" s="41"/>
      <c r="C36" s="49" t="s">
        <v>42</v>
      </c>
      <c r="D36" s="43" t="s">
        <v>127</v>
      </c>
      <c r="E36" s="43" t="s">
        <v>128</v>
      </c>
      <c r="F36" s="44" t="s">
        <v>197</v>
      </c>
      <c r="G36" s="45" t="s">
        <v>198</v>
      </c>
      <c r="H36" s="45" t="s">
        <v>199</v>
      </c>
      <c r="I36" s="46" t="s">
        <v>200</v>
      </c>
      <c r="J36" s="45" t="s">
        <v>201</v>
      </c>
      <c r="K36" s="45" t="s">
        <v>202</v>
      </c>
      <c r="L36" s="47" t="s">
        <v>64</v>
      </c>
      <c r="M36" s="48" t="s">
        <v>38</v>
      </c>
      <c r="N36" s="49" t="s">
        <v>39</v>
      </c>
      <c r="O36" s="44" t="s">
        <v>4</v>
      </c>
      <c r="P36" s="44" t="s">
        <v>40</v>
      </c>
      <c r="Q36" s="44" t="s">
        <v>184</v>
      </c>
      <c r="R36" s="50"/>
      <c r="S36" s="53" t="str">
        <f t="shared" si="1"/>
        <v/>
      </c>
      <c r="T36" s="44" t="s">
        <v>41</v>
      </c>
      <c r="U36" s="44"/>
      <c r="V36" s="52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</row>
    <row r="37" ht="15.75" customHeight="1">
      <c r="A37" s="40"/>
      <c r="B37" s="41"/>
      <c r="C37" s="49" t="s">
        <v>42</v>
      </c>
      <c r="D37" s="43" t="s">
        <v>29</v>
      </c>
      <c r="E37" s="43" t="s">
        <v>30</v>
      </c>
      <c r="F37" s="44" t="s">
        <v>203</v>
      </c>
      <c r="G37" s="45" t="s">
        <v>204</v>
      </c>
      <c r="H37" s="45" t="s">
        <v>205</v>
      </c>
      <c r="I37" s="46" t="s">
        <v>206</v>
      </c>
      <c r="J37" s="45" t="s">
        <v>207</v>
      </c>
      <c r="K37" s="45" t="s">
        <v>208</v>
      </c>
      <c r="L37" s="47" t="s">
        <v>64</v>
      </c>
      <c r="M37" s="48" t="s">
        <v>38</v>
      </c>
      <c r="N37" s="49" t="s">
        <v>39</v>
      </c>
      <c r="O37" s="44" t="s">
        <v>4</v>
      </c>
      <c r="P37" s="44" t="s">
        <v>40</v>
      </c>
      <c r="Q37" s="44" t="s">
        <v>184</v>
      </c>
      <c r="R37" s="50"/>
      <c r="S37" s="53" t="str">
        <f t="shared" si="1"/>
        <v/>
      </c>
      <c r="T37" s="44" t="s">
        <v>41</v>
      </c>
      <c r="U37" s="44"/>
      <c r="V37" s="52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</row>
    <row r="38" ht="15.75" customHeight="1">
      <c r="A38" s="40"/>
      <c r="B38" s="41"/>
      <c r="C38" s="49" t="s">
        <v>42</v>
      </c>
      <c r="D38" s="43" t="s">
        <v>29</v>
      </c>
      <c r="E38" s="43" t="s">
        <v>43</v>
      </c>
      <c r="F38" s="44" t="s">
        <v>209</v>
      </c>
      <c r="G38" s="45" t="s">
        <v>210</v>
      </c>
      <c r="H38" s="45" t="s">
        <v>211</v>
      </c>
      <c r="I38" s="46" t="s">
        <v>212</v>
      </c>
      <c r="J38" s="45" t="s">
        <v>213</v>
      </c>
      <c r="K38" s="45" t="s">
        <v>214</v>
      </c>
      <c r="L38" s="47" t="s">
        <v>37</v>
      </c>
      <c r="M38" s="48" t="s">
        <v>38</v>
      </c>
      <c r="N38" s="49" t="s">
        <v>39</v>
      </c>
      <c r="O38" s="44" t="s">
        <v>4</v>
      </c>
      <c r="P38" s="44" t="s">
        <v>40</v>
      </c>
      <c r="Q38" s="44" t="s">
        <v>50</v>
      </c>
      <c r="R38" s="50"/>
      <c r="S38" s="53" t="str">
        <f t="shared" si="1"/>
        <v/>
      </c>
      <c r="T38" s="44" t="s">
        <v>41</v>
      </c>
      <c r="U38" s="44"/>
      <c r="V38" s="52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</row>
    <row r="39" ht="15.75" customHeight="1">
      <c r="A39" s="40"/>
      <c r="B39" s="41"/>
      <c r="C39" s="49" t="s">
        <v>42</v>
      </c>
      <c r="D39" s="43" t="s">
        <v>29</v>
      </c>
      <c r="E39" s="43" t="s">
        <v>43</v>
      </c>
      <c r="F39" s="44" t="s">
        <v>215</v>
      </c>
      <c r="G39" s="45" t="s">
        <v>216</v>
      </c>
      <c r="H39" s="45" t="s">
        <v>217</v>
      </c>
      <c r="I39" s="46" t="s">
        <v>218</v>
      </c>
      <c r="J39" s="45" t="s">
        <v>219</v>
      </c>
      <c r="K39" s="45" t="s">
        <v>220</v>
      </c>
      <c r="L39" s="47" t="s">
        <v>37</v>
      </c>
      <c r="M39" s="48" t="s">
        <v>38</v>
      </c>
      <c r="N39" s="49" t="s">
        <v>39</v>
      </c>
      <c r="O39" s="44" t="s">
        <v>4</v>
      </c>
      <c r="P39" s="44" t="s">
        <v>40</v>
      </c>
      <c r="Q39" s="44" t="s">
        <v>50</v>
      </c>
      <c r="R39" s="50"/>
      <c r="S39" s="53" t="str">
        <f t="shared" si="1"/>
        <v/>
      </c>
      <c r="T39" s="44" t="s">
        <v>41</v>
      </c>
      <c r="U39" s="44"/>
      <c r="V39" s="52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</row>
    <row r="40" ht="15.75" customHeight="1">
      <c r="A40" s="40"/>
      <c r="B40" s="41"/>
      <c r="C40" s="49" t="s">
        <v>42</v>
      </c>
      <c r="D40" s="43" t="s">
        <v>29</v>
      </c>
      <c r="E40" s="43" t="s">
        <v>43</v>
      </c>
      <c r="F40" s="44" t="s">
        <v>221</v>
      </c>
      <c r="G40" s="45" t="s">
        <v>222</v>
      </c>
      <c r="H40" s="45" t="s">
        <v>223</v>
      </c>
      <c r="I40" s="46" t="s">
        <v>224</v>
      </c>
      <c r="J40" s="45" t="s">
        <v>225</v>
      </c>
      <c r="K40" s="45" t="s">
        <v>226</v>
      </c>
      <c r="L40" s="47" t="s">
        <v>37</v>
      </c>
      <c r="M40" s="48" t="s">
        <v>38</v>
      </c>
      <c r="N40" s="49" t="s">
        <v>39</v>
      </c>
      <c r="O40" s="44" t="s">
        <v>4</v>
      </c>
      <c r="P40" s="44" t="s">
        <v>40</v>
      </c>
      <c r="Q40" s="44" t="s">
        <v>50</v>
      </c>
      <c r="R40" s="50"/>
      <c r="S40" s="53" t="str">
        <f t="shared" si="1"/>
        <v/>
      </c>
      <c r="T40" s="44" t="s">
        <v>41</v>
      </c>
      <c r="U40" s="44"/>
      <c r="V40" s="52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</row>
    <row r="41" ht="15.75" customHeight="1">
      <c r="A41" s="40"/>
      <c r="B41" s="41"/>
      <c r="C41" s="49" t="s">
        <v>42</v>
      </c>
      <c r="D41" s="43" t="s">
        <v>29</v>
      </c>
      <c r="E41" s="43" t="s">
        <v>57</v>
      </c>
      <c r="F41" s="44" t="s">
        <v>227</v>
      </c>
      <c r="G41" s="45" t="s">
        <v>228</v>
      </c>
      <c r="H41" s="45" t="s">
        <v>229</v>
      </c>
      <c r="I41" s="46" t="s">
        <v>230</v>
      </c>
      <c r="J41" s="45" t="s">
        <v>231</v>
      </c>
      <c r="K41" s="45" t="s">
        <v>232</v>
      </c>
      <c r="L41" s="47" t="s">
        <v>64</v>
      </c>
      <c r="M41" s="48" t="s">
        <v>38</v>
      </c>
      <c r="N41" s="49" t="s">
        <v>39</v>
      </c>
      <c r="O41" s="44" t="s">
        <v>4</v>
      </c>
      <c r="P41" s="44" t="s">
        <v>40</v>
      </c>
      <c r="Q41" s="44" t="s">
        <v>50</v>
      </c>
      <c r="R41" s="50"/>
      <c r="S41" s="53" t="str">
        <f t="shared" si="1"/>
        <v/>
      </c>
      <c r="T41" s="44" t="s">
        <v>41</v>
      </c>
      <c r="U41" s="44"/>
      <c r="V41" s="52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</row>
    <row r="42" ht="15.75" customHeight="1">
      <c r="A42" s="40"/>
      <c r="B42" s="41"/>
      <c r="C42" s="49" t="s">
        <v>42</v>
      </c>
      <c r="D42" s="43" t="s">
        <v>107</v>
      </c>
      <c r="E42" s="43" t="s">
        <v>108</v>
      </c>
      <c r="F42" s="44" t="s">
        <v>233</v>
      </c>
      <c r="G42" s="45" t="s">
        <v>234</v>
      </c>
      <c r="H42" s="45" t="s">
        <v>235</v>
      </c>
      <c r="I42" s="46" t="s">
        <v>236</v>
      </c>
      <c r="J42" s="45" t="s">
        <v>237</v>
      </c>
      <c r="K42" s="45" t="s">
        <v>238</v>
      </c>
      <c r="L42" s="47" t="s">
        <v>37</v>
      </c>
      <c r="M42" s="48" t="s">
        <v>38</v>
      </c>
      <c r="N42" s="49" t="s">
        <v>39</v>
      </c>
      <c r="O42" s="44" t="s">
        <v>4</v>
      </c>
      <c r="P42" s="44" t="s">
        <v>40</v>
      </c>
      <c r="Q42" s="44" t="s">
        <v>50</v>
      </c>
      <c r="R42" s="50"/>
      <c r="S42" s="53" t="str">
        <f t="shared" si="1"/>
        <v/>
      </c>
      <c r="T42" s="44" t="s">
        <v>41</v>
      </c>
      <c r="U42" s="44"/>
      <c r="V42" s="52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</row>
    <row r="43" ht="15.75" customHeight="1">
      <c r="A43" s="40"/>
      <c r="B43" s="41"/>
      <c r="C43" s="49" t="s">
        <v>42</v>
      </c>
      <c r="D43" s="43" t="s">
        <v>107</v>
      </c>
      <c r="E43" s="43" t="s">
        <v>108</v>
      </c>
      <c r="F43" s="44" t="s">
        <v>239</v>
      </c>
      <c r="G43" s="45" t="s">
        <v>240</v>
      </c>
      <c r="H43" s="45" t="s">
        <v>241</v>
      </c>
      <c r="I43" s="46" t="s">
        <v>242</v>
      </c>
      <c r="J43" s="45" t="s">
        <v>243</v>
      </c>
      <c r="K43" s="45" t="s">
        <v>244</v>
      </c>
      <c r="L43" s="47" t="s">
        <v>37</v>
      </c>
      <c r="M43" s="48" t="s">
        <v>38</v>
      </c>
      <c r="N43" s="49" t="s">
        <v>39</v>
      </c>
      <c r="O43" s="44" t="s">
        <v>4</v>
      </c>
      <c r="P43" s="44" t="s">
        <v>40</v>
      </c>
      <c r="Q43" s="44" t="s">
        <v>50</v>
      </c>
      <c r="R43" s="50"/>
      <c r="S43" s="53" t="str">
        <f t="shared" si="1"/>
        <v/>
      </c>
      <c r="T43" s="44" t="s">
        <v>41</v>
      </c>
      <c r="U43" s="44"/>
      <c r="V43" s="52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</row>
    <row r="44" ht="15.75" customHeight="1">
      <c r="A44" s="40"/>
      <c r="B44" s="41"/>
      <c r="C44" s="49" t="s">
        <v>42</v>
      </c>
      <c r="D44" s="43" t="s">
        <v>107</v>
      </c>
      <c r="E44" s="43" t="s">
        <v>108</v>
      </c>
      <c r="F44" s="44" t="s">
        <v>245</v>
      </c>
      <c r="G44" s="45" t="s">
        <v>246</v>
      </c>
      <c r="H44" s="45" t="s">
        <v>247</v>
      </c>
      <c r="I44" s="46" t="s">
        <v>248</v>
      </c>
      <c r="J44" s="45" t="s">
        <v>249</v>
      </c>
      <c r="K44" s="45" t="s">
        <v>250</v>
      </c>
      <c r="L44" s="47" t="s">
        <v>37</v>
      </c>
      <c r="M44" s="48" t="s">
        <v>38</v>
      </c>
      <c r="N44" s="49" t="s">
        <v>39</v>
      </c>
      <c r="O44" s="44" t="s">
        <v>4</v>
      </c>
      <c r="P44" s="44" t="s">
        <v>40</v>
      </c>
      <c r="Q44" s="44" t="s">
        <v>50</v>
      </c>
      <c r="R44" s="50"/>
      <c r="S44" s="53" t="str">
        <f t="shared" si="1"/>
        <v/>
      </c>
      <c r="T44" s="44" t="s">
        <v>41</v>
      </c>
      <c r="U44" s="44"/>
      <c r="V44" s="52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</row>
    <row r="45" ht="15.75" customHeight="1">
      <c r="A45" s="40"/>
      <c r="B45" s="41"/>
      <c r="C45" s="49" t="s">
        <v>42</v>
      </c>
      <c r="D45" s="43" t="s">
        <v>107</v>
      </c>
      <c r="E45" s="43" t="s">
        <v>108</v>
      </c>
      <c r="F45" s="44" t="s">
        <v>251</v>
      </c>
      <c r="G45" s="45" t="s">
        <v>252</v>
      </c>
      <c r="H45" s="45" t="s">
        <v>253</v>
      </c>
      <c r="I45" s="46" t="s">
        <v>254</v>
      </c>
      <c r="J45" s="45" t="s">
        <v>255</v>
      </c>
      <c r="K45" s="45" t="s">
        <v>257</v>
      </c>
      <c r="L45" s="47" t="s">
        <v>64</v>
      </c>
      <c r="M45" s="48" t="s">
        <v>38</v>
      </c>
      <c r="N45" s="49" t="s">
        <v>39</v>
      </c>
      <c r="O45" s="44" t="s">
        <v>4</v>
      </c>
      <c r="P45" s="44" t="s">
        <v>40</v>
      </c>
      <c r="Q45" s="44" t="s">
        <v>50</v>
      </c>
      <c r="R45" s="50"/>
      <c r="S45" s="53" t="str">
        <f t="shared" si="1"/>
        <v/>
      </c>
      <c r="T45" s="44" t="s">
        <v>41</v>
      </c>
      <c r="U45" s="44"/>
      <c r="V45" s="52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</row>
    <row r="46" ht="15.75" customHeight="1">
      <c r="A46" s="40"/>
      <c r="B46" s="41"/>
      <c r="C46" s="49" t="s">
        <v>42</v>
      </c>
      <c r="D46" s="43" t="s">
        <v>107</v>
      </c>
      <c r="E46" s="43" t="s">
        <v>57</v>
      </c>
      <c r="F46" s="44" t="s">
        <v>258</v>
      </c>
      <c r="G46" s="45" t="s">
        <v>259</v>
      </c>
      <c r="H46" s="45" t="s">
        <v>260</v>
      </c>
      <c r="I46" s="46" t="s">
        <v>261</v>
      </c>
      <c r="J46" s="45" t="s">
        <v>262</v>
      </c>
      <c r="K46" s="45" t="s">
        <v>263</v>
      </c>
      <c r="L46" s="47" t="s">
        <v>37</v>
      </c>
      <c r="M46" s="48" t="s">
        <v>38</v>
      </c>
      <c r="N46" s="49" t="s">
        <v>39</v>
      </c>
      <c r="O46" s="44" t="s">
        <v>4</v>
      </c>
      <c r="P46" s="44" t="s">
        <v>40</v>
      </c>
      <c r="Q46" s="44" t="s">
        <v>50</v>
      </c>
      <c r="R46" s="50"/>
      <c r="S46" s="53" t="str">
        <f t="shared" si="1"/>
        <v/>
      </c>
      <c r="T46" s="44" t="s">
        <v>41</v>
      </c>
      <c r="U46" s="44"/>
      <c r="V46" s="52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</row>
    <row r="47" ht="15.75" customHeight="1">
      <c r="A47" s="40"/>
      <c r="B47" s="41"/>
      <c r="C47" s="49" t="s">
        <v>42</v>
      </c>
      <c r="D47" s="43" t="s">
        <v>107</v>
      </c>
      <c r="E47" s="43" t="s">
        <v>57</v>
      </c>
      <c r="F47" s="44" t="s">
        <v>265</v>
      </c>
      <c r="G47" s="45" t="s">
        <v>266</v>
      </c>
      <c r="H47" s="45" t="s">
        <v>267</v>
      </c>
      <c r="I47" s="46" t="s">
        <v>268</v>
      </c>
      <c r="J47" s="45" t="s">
        <v>269</v>
      </c>
      <c r="K47" s="45" t="s">
        <v>270</v>
      </c>
      <c r="L47" s="47" t="s">
        <v>64</v>
      </c>
      <c r="M47" s="48" t="s">
        <v>38</v>
      </c>
      <c r="N47" s="49" t="s">
        <v>39</v>
      </c>
      <c r="O47" s="44" t="s">
        <v>4</v>
      </c>
      <c r="P47" s="44" t="s">
        <v>40</v>
      </c>
      <c r="Q47" s="44" t="s">
        <v>50</v>
      </c>
      <c r="R47" s="50"/>
      <c r="S47" s="53" t="str">
        <f t="shared" si="1"/>
        <v/>
      </c>
      <c r="T47" s="44" t="s">
        <v>41</v>
      </c>
      <c r="U47" s="44"/>
      <c r="V47" s="52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</row>
    <row r="48" ht="15.75" customHeight="1">
      <c r="A48" s="40"/>
      <c r="B48" s="41"/>
      <c r="C48" s="49" t="s">
        <v>42</v>
      </c>
      <c r="D48" s="43" t="s">
        <v>107</v>
      </c>
      <c r="E48" s="43" t="s">
        <v>57</v>
      </c>
      <c r="F48" s="44" t="s">
        <v>271</v>
      </c>
      <c r="G48" s="45" t="s">
        <v>272</v>
      </c>
      <c r="H48" s="45" t="s">
        <v>273</v>
      </c>
      <c r="I48" s="46" t="s">
        <v>274</v>
      </c>
      <c r="J48" s="45" t="s">
        <v>275</v>
      </c>
      <c r="K48" s="45" t="s">
        <v>276</v>
      </c>
      <c r="L48" s="47" t="s">
        <v>37</v>
      </c>
      <c r="M48" s="48" t="s">
        <v>38</v>
      </c>
      <c r="N48" s="49" t="s">
        <v>39</v>
      </c>
      <c r="O48" s="44" t="s">
        <v>4</v>
      </c>
      <c r="P48" s="44" t="s">
        <v>40</v>
      </c>
      <c r="Q48" s="44" t="s">
        <v>50</v>
      </c>
      <c r="R48" s="50"/>
      <c r="S48" s="53" t="str">
        <f t="shared" si="1"/>
        <v/>
      </c>
      <c r="T48" s="44" t="s">
        <v>41</v>
      </c>
      <c r="U48" s="44"/>
      <c r="V48" s="52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</row>
    <row r="49" ht="15.75" customHeight="1">
      <c r="A49" s="40"/>
      <c r="B49" s="41"/>
      <c r="C49" s="49" t="s">
        <v>42</v>
      </c>
      <c r="D49" s="43" t="s">
        <v>107</v>
      </c>
      <c r="E49" s="43" t="s">
        <v>57</v>
      </c>
      <c r="F49" s="44" t="s">
        <v>277</v>
      </c>
      <c r="G49" s="45" t="s">
        <v>278</v>
      </c>
      <c r="H49" s="45" t="s">
        <v>279</v>
      </c>
      <c r="I49" s="46" t="s">
        <v>280</v>
      </c>
      <c r="J49" s="45" t="s">
        <v>281</v>
      </c>
      <c r="K49" s="45" t="s">
        <v>282</v>
      </c>
      <c r="L49" s="47" t="s">
        <v>64</v>
      </c>
      <c r="M49" s="48" t="s">
        <v>38</v>
      </c>
      <c r="N49" s="49" t="s">
        <v>39</v>
      </c>
      <c r="O49" s="44" t="s">
        <v>4</v>
      </c>
      <c r="P49" s="44" t="s">
        <v>40</v>
      </c>
      <c r="Q49" s="44" t="s">
        <v>50</v>
      </c>
      <c r="R49" s="50"/>
      <c r="S49" s="53" t="str">
        <f t="shared" si="1"/>
        <v/>
      </c>
      <c r="T49" s="44" t="s">
        <v>41</v>
      </c>
      <c r="U49" s="44"/>
      <c r="V49" s="52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</row>
    <row r="50" ht="15.75" customHeight="1">
      <c r="A50" s="40"/>
      <c r="B50" s="41"/>
      <c r="C50" s="49" t="s">
        <v>42</v>
      </c>
      <c r="D50" s="43" t="s">
        <v>107</v>
      </c>
      <c r="E50" s="43" t="s">
        <v>57</v>
      </c>
      <c r="F50" s="44" t="s">
        <v>283</v>
      </c>
      <c r="G50" s="45" t="s">
        <v>284</v>
      </c>
      <c r="H50" s="45" t="s">
        <v>285</v>
      </c>
      <c r="I50" s="46" t="s">
        <v>286</v>
      </c>
      <c r="J50" s="45" t="s">
        <v>287</v>
      </c>
      <c r="K50" s="45" t="s">
        <v>288</v>
      </c>
      <c r="L50" s="47" t="s">
        <v>64</v>
      </c>
      <c r="M50" s="48" t="s">
        <v>38</v>
      </c>
      <c r="N50" s="49" t="s">
        <v>39</v>
      </c>
      <c r="O50" s="44" t="s">
        <v>4</v>
      </c>
      <c r="P50" s="44" t="s">
        <v>40</v>
      </c>
      <c r="Q50" s="44" t="s">
        <v>50</v>
      </c>
      <c r="R50" s="50"/>
      <c r="S50" s="53" t="str">
        <f t="shared" si="1"/>
        <v/>
      </c>
      <c r="T50" s="44" t="s">
        <v>41</v>
      </c>
      <c r="U50" s="44"/>
      <c r="V50" s="52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</row>
    <row r="51" ht="15.75" customHeight="1">
      <c r="A51" s="40"/>
      <c r="B51" s="41"/>
      <c r="C51" s="49" t="s">
        <v>42</v>
      </c>
      <c r="D51" s="43" t="s">
        <v>29</v>
      </c>
      <c r="E51" s="43" t="s">
        <v>43</v>
      </c>
      <c r="F51" s="44" t="s">
        <v>289</v>
      </c>
      <c r="G51" s="45" t="s">
        <v>290</v>
      </c>
      <c r="H51" s="45" t="s">
        <v>291</v>
      </c>
      <c r="I51" s="46" t="s">
        <v>292</v>
      </c>
      <c r="J51" s="45" t="s">
        <v>293</v>
      </c>
      <c r="K51" s="45" t="s">
        <v>294</v>
      </c>
      <c r="L51" s="47" t="s">
        <v>37</v>
      </c>
      <c r="M51" s="48" t="s">
        <v>38</v>
      </c>
      <c r="N51" s="49" t="s">
        <v>39</v>
      </c>
      <c r="O51" s="44" t="s">
        <v>4</v>
      </c>
      <c r="P51" s="44" t="s">
        <v>40</v>
      </c>
      <c r="Q51" s="44" t="s">
        <v>50</v>
      </c>
      <c r="R51" s="50"/>
      <c r="S51" s="53" t="str">
        <f t="shared" si="1"/>
        <v/>
      </c>
      <c r="T51" s="44" t="s">
        <v>41</v>
      </c>
      <c r="U51" s="44"/>
      <c r="V51" s="52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</row>
    <row r="52" ht="15.75" customHeight="1">
      <c r="A52" s="40"/>
      <c r="B52" s="41"/>
      <c r="C52" s="49" t="s">
        <v>42</v>
      </c>
      <c r="D52" s="43" t="s">
        <v>107</v>
      </c>
      <c r="E52" s="43" t="s">
        <v>108</v>
      </c>
      <c r="F52" s="44" t="s">
        <v>296</v>
      </c>
      <c r="G52" s="45" t="s">
        <v>297</v>
      </c>
      <c r="H52" s="45" t="s">
        <v>298</v>
      </c>
      <c r="I52" s="46" t="s">
        <v>299</v>
      </c>
      <c r="J52" s="45" t="s">
        <v>300</v>
      </c>
      <c r="K52" s="45" t="s">
        <v>301</v>
      </c>
      <c r="L52" s="47" t="s">
        <v>37</v>
      </c>
      <c r="M52" s="48" t="s">
        <v>38</v>
      </c>
      <c r="N52" s="49" t="s">
        <v>39</v>
      </c>
      <c r="O52" s="44" t="s">
        <v>4</v>
      </c>
      <c r="P52" s="44" t="s">
        <v>40</v>
      </c>
      <c r="Q52" s="44" t="s">
        <v>50</v>
      </c>
      <c r="R52" s="50"/>
      <c r="S52" s="53" t="str">
        <f t="shared" si="1"/>
        <v/>
      </c>
      <c r="T52" s="44" t="s">
        <v>41</v>
      </c>
      <c r="U52" s="44"/>
      <c r="V52" s="52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</row>
    <row r="53" ht="15.75" customHeight="1">
      <c r="A53" s="40"/>
      <c r="B53" s="41"/>
      <c r="C53" s="49" t="s">
        <v>42</v>
      </c>
      <c r="D53" s="43" t="s">
        <v>29</v>
      </c>
      <c r="E53" s="43" t="s">
        <v>43</v>
      </c>
      <c r="F53" s="44" t="s">
        <v>302</v>
      </c>
      <c r="G53" s="45" t="s">
        <v>303</v>
      </c>
      <c r="H53" s="45" t="s">
        <v>304</v>
      </c>
      <c r="I53" s="46" t="s">
        <v>305</v>
      </c>
      <c r="J53" s="45" t="s">
        <v>306</v>
      </c>
      <c r="K53" s="45" t="s">
        <v>307</v>
      </c>
      <c r="L53" s="47" t="s">
        <v>153</v>
      </c>
      <c r="M53" s="48" t="s">
        <v>38</v>
      </c>
      <c r="N53" s="49" t="s">
        <v>39</v>
      </c>
      <c r="O53" s="44" t="s">
        <v>4</v>
      </c>
      <c r="P53" s="44" t="s">
        <v>40</v>
      </c>
      <c r="Q53" s="44" t="s">
        <v>50</v>
      </c>
      <c r="R53" s="50"/>
      <c r="S53" s="53" t="str">
        <f t="shared" si="1"/>
        <v/>
      </c>
      <c r="T53" s="44" t="s">
        <v>41</v>
      </c>
      <c r="U53" s="44"/>
      <c r="V53" s="52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</row>
    <row r="54" ht="15.75" customHeight="1">
      <c r="A54" s="40"/>
      <c r="B54" s="41"/>
      <c r="C54" s="49" t="s">
        <v>42</v>
      </c>
      <c r="D54" s="43" t="s">
        <v>29</v>
      </c>
      <c r="E54" s="43" t="s">
        <v>43</v>
      </c>
      <c r="F54" s="44" t="s">
        <v>309</v>
      </c>
      <c r="G54" s="45" t="s">
        <v>310</v>
      </c>
      <c r="H54" s="45" t="s">
        <v>311</v>
      </c>
      <c r="I54" s="46" t="s">
        <v>313</v>
      </c>
      <c r="J54" s="45" t="s">
        <v>314</v>
      </c>
      <c r="K54" s="45" t="s">
        <v>315</v>
      </c>
      <c r="L54" s="47" t="s">
        <v>64</v>
      </c>
      <c r="M54" s="48" t="s">
        <v>38</v>
      </c>
      <c r="N54" s="49" t="s">
        <v>39</v>
      </c>
      <c r="O54" s="44" t="s">
        <v>4</v>
      </c>
      <c r="P54" s="44" t="s">
        <v>40</v>
      </c>
      <c r="Q54" s="44" t="s">
        <v>50</v>
      </c>
      <c r="R54" s="50"/>
      <c r="S54" s="53" t="str">
        <f t="shared" si="1"/>
        <v/>
      </c>
      <c r="T54" s="44" t="s">
        <v>41</v>
      </c>
      <c r="U54" s="44"/>
      <c r="V54" s="52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</row>
    <row r="55" ht="15.75" customHeight="1">
      <c r="A55" s="40"/>
      <c r="B55" s="41"/>
      <c r="C55" s="49" t="s">
        <v>42</v>
      </c>
      <c r="D55" s="43" t="s">
        <v>29</v>
      </c>
      <c r="E55" s="43" t="s">
        <v>30</v>
      </c>
      <c r="F55" s="44" t="s">
        <v>316</v>
      </c>
      <c r="G55" s="45" t="s">
        <v>318</v>
      </c>
      <c r="H55" s="45" t="s">
        <v>319</v>
      </c>
      <c r="I55" s="46" t="s">
        <v>320</v>
      </c>
      <c r="J55" s="45" t="s">
        <v>321</v>
      </c>
      <c r="K55" s="45" t="s">
        <v>322</v>
      </c>
      <c r="L55" s="47" t="s">
        <v>64</v>
      </c>
      <c r="M55" s="48" t="s">
        <v>38</v>
      </c>
      <c r="N55" s="49" t="s">
        <v>39</v>
      </c>
      <c r="O55" s="44" t="s">
        <v>4</v>
      </c>
      <c r="P55" s="44" t="s">
        <v>40</v>
      </c>
      <c r="Q55" s="44" t="s">
        <v>30</v>
      </c>
      <c r="R55" s="50"/>
      <c r="S55" s="53" t="str">
        <f t="shared" si="1"/>
        <v/>
      </c>
      <c r="T55" s="44" t="s">
        <v>41</v>
      </c>
      <c r="U55" s="44"/>
      <c r="V55" s="52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</row>
    <row r="56" ht="15.75" customHeight="1">
      <c r="A56" s="40"/>
      <c r="B56" s="41"/>
      <c r="C56" s="49" t="s">
        <v>42</v>
      </c>
      <c r="D56" s="43" t="s">
        <v>29</v>
      </c>
      <c r="E56" s="43" t="s">
        <v>30</v>
      </c>
      <c r="F56" s="44" t="s">
        <v>324</v>
      </c>
      <c r="G56" s="45" t="s">
        <v>325</v>
      </c>
      <c r="H56" s="45" t="s">
        <v>326</v>
      </c>
      <c r="I56" s="46" t="s">
        <v>327</v>
      </c>
      <c r="J56" s="45" t="s">
        <v>328</v>
      </c>
      <c r="K56" s="45" t="s">
        <v>329</v>
      </c>
      <c r="L56" s="47" t="s">
        <v>37</v>
      </c>
      <c r="M56" s="48" t="s">
        <v>38</v>
      </c>
      <c r="N56" s="49" t="s">
        <v>39</v>
      </c>
      <c r="O56" s="44" t="s">
        <v>4</v>
      </c>
      <c r="P56" s="44" t="s">
        <v>40</v>
      </c>
      <c r="Q56" s="44" t="s">
        <v>30</v>
      </c>
      <c r="R56" s="50"/>
      <c r="S56" s="53" t="str">
        <f t="shared" si="1"/>
        <v/>
      </c>
      <c r="T56" s="44" t="s">
        <v>41</v>
      </c>
      <c r="U56" s="44"/>
      <c r="V56" s="52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</row>
    <row r="57" ht="15.75" customHeight="1">
      <c r="A57" s="40"/>
      <c r="B57" s="41"/>
      <c r="C57" s="49" t="s">
        <v>42</v>
      </c>
      <c r="D57" s="43" t="s">
        <v>127</v>
      </c>
      <c r="E57" s="43" t="s">
        <v>128</v>
      </c>
      <c r="F57" s="44" t="s">
        <v>331</v>
      </c>
      <c r="G57" s="45" t="s">
        <v>332</v>
      </c>
      <c r="H57" s="45" t="s">
        <v>333</v>
      </c>
      <c r="I57" s="46" t="s">
        <v>334</v>
      </c>
      <c r="J57" s="45" t="s">
        <v>335</v>
      </c>
      <c r="K57" s="45" t="s">
        <v>336</v>
      </c>
      <c r="L57" s="47" t="s">
        <v>64</v>
      </c>
      <c r="M57" s="48" t="s">
        <v>38</v>
      </c>
      <c r="N57" s="49" t="s">
        <v>39</v>
      </c>
      <c r="O57" s="44" t="s">
        <v>4</v>
      </c>
      <c r="P57" s="44" t="s">
        <v>40</v>
      </c>
      <c r="Q57" s="44" t="s">
        <v>50</v>
      </c>
      <c r="R57" s="50"/>
      <c r="S57" s="53" t="str">
        <f t="shared" si="1"/>
        <v/>
      </c>
      <c r="T57" s="44" t="s">
        <v>41</v>
      </c>
      <c r="U57" s="44"/>
      <c r="V57" s="52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</row>
    <row r="58" ht="15.75" customHeight="1">
      <c r="A58" s="40"/>
      <c r="B58" s="41"/>
      <c r="C58" s="49" t="s">
        <v>42</v>
      </c>
      <c r="D58" s="43" t="s">
        <v>127</v>
      </c>
      <c r="E58" s="43" t="s">
        <v>128</v>
      </c>
      <c r="F58" s="44" t="s">
        <v>337</v>
      </c>
      <c r="G58" s="45" t="s">
        <v>338</v>
      </c>
      <c r="H58" s="45" t="s">
        <v>339</v>
      </c>
      <c r="I58" s="46" t="s">
        <v>340</v>
      </c>
      <c r="J58" s="45" t="s">
        <v>341</v>
      </c>
      <c r="K58" s="45" t="s">
        <v>342</v>
      </c>
      <c r="L58" s="47" t="s">
        <v>64</v>
      </c>
      <c r="M58" s="48" t="s">
        <v>38</v>
      </c>
      <c r="N58" s="49" t="s">
        <v>39</v>
      </c>
      <c r="O58" s="44" t="s">
        <v>4</v>
      </c>
      <c r="P58" s="44" t="s">
        <v>40</v>
      </c>
      <c r="Q58" s="44" t="s">
        <v>50</v>
      </c>
      <c r="R58" s="50"/>
      <c r="S58" s="53" t="str">
        <f t="shared" si="1"/>
        <v/>
      </c>
      <c r="T58" s="44" t="s">
        <v>41</v>
      </c>
      <c r="U58" s="44"/>
      <c r="V58" s="52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</row>
    <row r="59" ht="15.75" customHeight="1">
      <c r="A59" s="40"/>
      <c r="B59" s="41"/>
      <c r="C59" s="49" t="s">
        <v>42</v>
      </c>
      <c r="D59" s="43" t="s">
        <v>29</v>
      </c>
      <c r="E59" s="43" t="s">
        <v>43</v>
      </c>
      <c r="F59" s="44" t="s">
        <v>343</v>
      </c>
      <c r="G59" s="45" t="s">
        <v>344</v>
      </c>
      <c r="H59" s="45" t="s">
        <v>345</v>
      </c>
      <c r="I59" s="46" t="s">
        <v>346</v>
      </c>
      <c r="J59" s="45" t="s">
        <v>347</v>
      </c>
      <c r="K59" s="45" t="s">
        <v>348</v>
      </c>
      <c r="L59" s="47" t="s">
        <v>153</v>
      </c>
      <c r="M59" s="48" t="s">
        <v>38</v>
      </c>
      <c r="N59" s="49" t="s">
        <v>39</v>
      </c>
      <c r="O59" s="44" t="s">
        <v>4</v>
      </c>
      <c r="P59" s="44" t="s">
        <v>40</v>
      </c>
      <c r="Q59" s="44" t="s">
        <v>50</v>
      </c>
      <c r="R59" s="50"/>
      <c r="S59" s="53" t="str">
        <f t="shared" si="1"/>
        <v/>
      </c>
      <c r="T59" s="44" t="s">
        <v>41</v>
      </c>
      <c r="U59" s="44"/>
      <c r="V59" s="52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</row>
    <row r="60" ht="15.75" customHeight="1">
      <c r="A60" s="40"/>
      <c r="B60" s="41"/>
      <c r="C60" s="49" t="s">
        <v>42</v>
      </c>
      <c r="D60" s="43" t="s">
        <v>29</v>
      </c>
      <c r="E60" s="43" t="s">
        <v>57</v>
      </c>
      <c r="F60" s="44" t="s">
        <v>350</v>
      </c>
      <c r="G60" s="45" t="s">
        <v>351</v>
      </c>
      <c r="H60" s="45" t="s">
        <v>352</v>
      </c>
      <c r="I60" s="46" t="s">
        <v>353</v>
      </c>
      <c r="J60" s="45" t="s">
        <v>354</v>
      </c>
      <c r="K60" s="45" t="s">
        <v>355</v>
      </c>
      <c r="L60" s="47" t="s">
        <v>37</v>
      </c>
      <c r="M60" s="48" t="s">
        <v>38</v>
      </c>
      <c r="N60" s="49" t="s">
        <v>39</v>
      </c>
      <c r="O60" s="44" t="s">
        <v>4</v>
      </c>
      <c r="P60" s="44" t="s">
        <v>40</v>
      </c>
      <c r="Q60" s="44" t="s">
        <v>50</v>
      </c>
      <c r="R60" s="50"/>
      <c r="S60" s="53" t="str">
        <f t="shared" si="1"/>
        <v/>
      </c>
      <c r="T60" s="44" t="s">
        <v>41</v>
      </c>
      <c r="U60" s="44"/>
      <c r="V60" s="52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</row>
    <row r="61" ht="15.75" customHeight="1">
      <c r="A61" s="40"/>
      <c r="B61" s="41"/>
      <c r="C61" s="49" t="s">
        <v>42</v>
      </c>
      <c r="D61" s="43" t="s">
        <v>107</v>
      </c>
      <c r="E61" s="43" t="s">
        <v>108</v>
      </c>
      <c r="F61" s="44" t="s">
        <v>356</v>
      </c>
      <c r="G61" s="45" t="s">
        <v>357</v>
      </c>
      <c r="H61" s="45" t="s">
        <v>358</v>
      </c>
      <c r="I61" s="46" t="s">
        <v>359</v>
      </c>
      <c r="J61" s="45" t="s">
        <v>360</v>
      </c>
      <c r="K61" s="45" t="s">
        <v>361</v>
      </c>
      <c r="L61" s="47" t="s">
        <v>37</v>
      </c>
      <c r="M61" s="48" t="s">
        <v>38</v>
      </c>
      <c r="N61" s="49" t="s">
        <v>39</v>
      </c>
      <c r="O61" s="44" t="s">
        <v>4</v>
      </c>
      <c r="P61" s="44" t="s">
        <v>40</v>
      </c>
      <c r="Q61" s="44" t="s">
        <v>50</v>
      </c>
      <c r="R61" s="50"/>
      <c r="S61" s="53" t="str">
        <f t="shared" si="1"/>
        <v/>
      </c>
      <c r="T61" s="44" t="s">
        <v>41</v>
      </c>
      <c r="U61" s="44"/>
      <c r="V61" s="52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</row>
    <row r="62" ht="15.75" customHeight="1">
      <c r="A62" s="40"/>
      <c r="B62" s="41"/>
      <c r="C62" s="49" t="s">
        <v>42</v>
      </c>
      <c r="D62" s="43" t="s">
        <v>29</v>
      </c>
      <c r="E62" s="43" t="s">
        <v>43</v>
      </c>
      <c r="F62" s="44" t="s">
        <v>362</v>
      </c>
      <c r="G62" s="45" t="s">
        <v>363</v>
      </c>
      <c r="H62" s="45" t="s">
        <v>364</v>
      </c>
      <c r="I62" s="46" t="s">
        <v>365</v>
      </c>
      <c r="J62" s="45" t="s">
        <v>366</v>
      </c>
      <c r="K62" s="45" t="s">
        <v>367</v>
      </c>
      <c r="L62" s="47" t="s">
        <v>64</v>
      </c>
      <c r="M62" s="48" t="s">
        <v>38</v>
      </c>
      <c r="N62" s="49" t="s">
        <v>39</v>
      </c>
      <c r="O62" s="44" t="s">
        <v>4</v>
      </c>
      <c r="P62" s="44" t="s">
        <v>40</v>
      </c>
      <c r="Q62" s="44" t="s">
        <v>50</v>
      </c>
      <c r="R62" s="50"/>
      <c r="S62" s="53" t="str">
        <f t="shared" si="1"/>
        <v/>
      </c>
      <c r="T62" s="44" t="s">
        <v>41</v>
      </c>
      <c r="U62" s="44"/>
      <c r="V62" s="52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</row>
    <row r="63" ht="15.75" customHeight="1">
      <c r="A63" s="40"/>
      <c r="B63" s="41"/>
      <c r="C63" s="49" t="s">
        <v>42</v>
      </c>
      <c r="D63" s="43" t="s">
        <v>29</v>
      </c>
      <c r="E63" s="43" t="s">
        <v>43</v>
      </c>
      <c r="F63" s="44" t="s">
        <v>368</v>
      </c>
      <c r="G63" s="45" t="s">
        <v>369</v>
      </c>
      <c r="H63" s="45" t="s">
        <v>370</v>
      </c>
      <c r="I63" s="46" t="s">
        <v>371</v>
      </c>
      <c r="J63" s="45" t="s">
        <v>372</v>
      </c>
      <c r="K63" s="45" t="s">
        <v>374</v>
      </c>
      <c r="L63" s="47" t="s">
        <v>64</v>
      </c>
      <c r="M63" s="48" t="s">
        <v>38</v>
      </c>
      <c r="N63" s="49" t="s">
        <v>39</v>
      </c>
      <c r="O63" s="44" t="s">
        <v>4</v>
      </c>
      <c r="P63" s="44" t="s">
        <v>40</v>
      </c>
      <c r="Q63" s="44" t="s">
        <v>50</v>
      </c>
      <c r="R63" s="50"/>
      <c r="S63" s="53" t="str">
        <f t="shared" si="1"/>
        <v/>
      </c>
      <c r="T63" s="44" t="s">
        <v>41</v>
      </c>
      <c r="U63" s="44"/>
      <c r="V63" s="52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</row>
    <row r="64" ht="15.75" customHeight="1">
      <c r="A64" s="40"/>
      <c r="B64" s="41"/>
      <c r="C64" s="49" t="s">
        <v>42</v>
      </c>
      <c r="D64" s="43" t="s">
        <v>29</v>
      </c>
      <c r="E64" s="43" t="s">
        <v>57</v>
      </c>
      <c r="F64" s="44" t="s">
        <v>375</v>
      </c>
      <c r="G64" s="45" t="s">
        <v>376</v>
      </c>
      <c r="H64" s="45" t="s">
        <v>377</v>
      </c>
      <c r="I64" s="46" t="s">
        <v>378</v>
      </c>
      <c r="J64" s="45" t="s">
        <v>379</v>
      </c>
      <c r="K64" s="45" t="s">
        <v>380</v>
      </c>
      <c r="L64" s="47" t="s">
        <v>37</v>
      </c>
      <c r="M64" s="48" t="s">
        <v>38</v>
      </c>
      <c r="N64" s="49" t="s">
        <v>39</v>
      </c>
      <c r="O64" s="44" t="s">
        <v>4</v>
      </c>
      <c r="P64" s="44" t="s">
        <v>40</v>
      </c>
      <c r="Q64" s="44" t="s">
        <v>50</v>
      </c>
      <c r="R64" s="50"/>
      <c r="S64" s="53" t="str">
        <f t="shared" si="1"/>
        <v/>
      </c>
      <c r="T64" s="44" t="s">
        <v>41</v>
      </c>
      <c r="U64" s="44"/>
      <c r="V64" s="52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</row>
    <row r="65" ht="15.75" customHeight="1">
      <c r="A65" s="40"/>
      <c r="B65" s="41"/>
      <c r="C65" s="49" t="s">
        <v>42</v>
      </c>
      <c r="D65" s="43" t="s">
        <v>29</v>
      </c>
      <c r="E65" s="43" t="s">
        <v>57</v>
      </c>
      <c r="F65" s="44" t="s">
        <v>382</v>
      </c>
      <c r="G65" s="45" t="s">
        <v>383</v>
      </c>
      <c r="H65" s="45" t="s">
        <v>384</v>
      </c>
      <c r="I65" s="46" t="s">
        <v>385</v>
      </c>
      <c r="J65" s="45" t="s">
        <v>386</v>
      </c>
      <c r="K65" s="45" t="s">
        <v>387</v>
      </c>
      <c r="L65" s="47" t="s">
        <v>37</v>
      </c>
      <c r="M65" s="48" t="s">
        <v>38</v>
      </c>
      <c r="N65" s="49" t="s">
        <v>39</v>
      </c>
      <c r="O65" s="44" t="s">
        <v>4</v>
      </c>
      <c r="P65" s="44" t="s">
        <v>40</v>
      </c>
      <c r="Q65" s="44" t="s">
        <v>50</v>
      </c>
      <c r="R65" s="50"/>
      <c r="S65" s="53" t="str">
        <f t="shared" si="1"/>
        <v/>
      </c>
      <c r="T65" s="44" t="s">
        <v>41</v>
      </c>
      <c r="U65" s="44"/>
      <c r="V65" s="52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</row>
    <row r="66" ht="15.75" customHeight="1">
      <c r="A66" s="40"/>
      <c r="B66" s="41"/>
      <c r="C66" s="49" t="s">
        <v>42</v>
      </c>
      <c r="D66" s="43" t="s">
        <v>29</v>
      </c>
      <c r="E66" s="43" t="s">
        <v>108</v>
      </c>
      <c r="F66" s="44" t="s">
        <v>389</v>
      </c>
      <c r="G66" s="45" t="s">
        <v>390</v>
      </c>
      <c r="H66" s="45" t="s">
        <v>391</v>
      </c>
      <c r="I66" s="46" t="s">
        <v>392</v>
      </c>
      <c r="J66" s="45" t="s">
        <v>393</v>
      </c>
      <c r="K66" s="45" t="s">
        <v>394</v>
      </c>
      <c r="L66" s="47" t="s">
        <v>37</v>
      </c>
      <c r="M66" s="48" t="s">
        <v>38</v>
      </c>
      <c r="N66" s="49" t="s">
        <v>39</v>
      </c>
      <c r="O66" s="44" t="s">
        <v>4</v>
      </c>
      <c r="P66" s="44" t="s">
        <v>40</v>
      </c>
      <c r="Q66" s="44" t="s">
        <v>50</v>
      </c>
      <c r="R66" s="50"/>
      <c r="S66" s="53" t="str">
        <f t="shared" si="1"/>
        <v/>
      </c>
      <c r="T66" s="44" t="s">
        <v>41</v>
      </c>
      <c r="U66" s="44"/>
      <c r="V66" s="52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</row>
    <row r="67" ht="15.75" customHeight="1">
      <c r="A67" s="40"/>
      <c r="B67" s="41"/>
      <c r="C67" s="49" t="s">
        <v>42</v>
      </c>
      <c r="D67" s="43" t="s">
        <v>127</v>
      </c>
      <c r="E67" s="43" t="s">
        <v>128</v>
      </c>
      <c r="F67" s="44" t="s">
        <v>395</v>
      </c>
      <c r="G67" s="45" t="s">
        <v>396</v>
      </c>
      <c r="H67" s="45" t="s">
        <v>397</v>
      </c>
      <c r="I67" s="46" t="s">
        <v>398</v>
      </c>
      <c r="J67" s="45" t="s">
        <v>399</v>
      </c>
      <c r="K67" s="45" t="s">
        <v>400</v>
      </c>
      <c r="L67" s="47" t="s">
        <v>37</v>
      </c>
      <c r="M67" s="48" t="s">
        <v>38</v>
      </c>
      <c r="N67" s="49" t="s">
        <v>39</v>
      </c>
      <c r="O67" s="44" t="s">
        <v>4</v>
      </c>
      <c r="P67" s="44" t="s">
        <v>40</v>
      </c>
      <c r="Q67" s="44" t="s">
        <v>50</v>
      </c>
      <c r="R67" s="50"/>
      <c r="S67" s="53" t="str">
        <f t="shared" si="1"/>
        <v/>
      </c>
      <c r="T67" s="44" t="s">
        <v>41</v>
      </c>
      <c r="U67" s="44"/>
      <c r="V67" s="52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</row>
    <row r="68" ht="15.75" customHeight="1">
      <c r="A68" s="40"/>
      <c r="B68" s="41"/>
      <c r="C68" s="49" t="s">
        <v>42</v>
      </c>
      <c r="D68" s="43" t="s">
        <v>29</v>
      </c>
      <c r="E68" s="43" t="s">
        <v>43</v>
      </c>
      <c r="F68" s="44" t="s">
        <v>403</v>
      </c>
      <c r="G68" s="45" t="s">
        <v>404</v>
      </c>
      <c r="H68" s="45" t="s">
        <v>405</v>
      </c>
      <c r="I68" s="46" t="s">
        <v>406</v>
      </c>
      <c r="J68" s="45" t="s">
        <v>407</v>
      </c>
      <c r="K68" s="45" t="s">
        <v>408</v>
      </c>
      <c r="L68" s="47" t="s">
        <v>64</v>
      </c>
      <c r="M68" s="48" t="s">
        <v>38</v>
      </c>
      <c r="N68" s="49" t="s">
        <v>39</v>
      </c>
      <c r="O68" s="44" t="s">
        <v>4</v>
      </c>
      <c r="P68" s="44" t="s">
        <v>40</v>
      </c>
      <c r="Q68" s="44" t="s">
        <v>50</v>
      </c>
      <c r="R68" s="50"/>
      <c r="S68" s="53" t="str">
        <f t="shared" si="1"/>
        <v/>
      </c>
      <c r="T68" s="44" t="s">
        <v>41</v>
      </c>
      <c r="U68" s="44"/>
      <c r="V68" s="52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</row>
    <row r="69" ht="15.75" customHeight="1">
      <c r="A69" s="40"/>
      <c r="B69" s="41"/>
      <c r="C69" s="49" t="s">
        <v>42</v>
      </c>
      <c r="D69" s="43" t="s">
        <v>29</v>
      </c>
      <c r="E69" s="43" t="s">
        <v>43</v>
      </c>
      <c r="F69" s="44" t="s">
        <v>410</v>
      </c>
      <c r="G69" s="45" t="s">
        <v>411</v>
      </c>
      <c r="H69" s="45" t="s">
        <v>412</v>
      </c>
      <c r="I69" s="46" t="s">
        <v>413</v>
      </c>
      <c r="J69" s="45" t="s">
        <v>414</v>
      </c>
      <c r="K69" s="45" t="s">
        <v>415</v>
      </c>
      <c r="L69" s="47" t="s">
        <v>64</v>
      </c>
      <c r="M69" s="48" t="s">
        <v>38</v>
      </c>
      <c r="N69" s="49" t="s">
        <v>39</v>
      </c>
      <c r="O69" s="44" t="s">
        <v>4</v>
      </c>
      <c r="P69" s="44" t="s">
        <v>40</v>
      </c>
      <c r="Q69" s="44" t="s">
        <v>50</v>
      </c>
      <c r="R69" s="50"/>
      <c r="S69" s="53" t="str">
        <f t="shared" si="1"/>
        <v/>
      </c>
      <c r="T69" s="44" t="s">
        <v>41</v>
      </c>
      <c r="U69" s="44"/>
      <c r="V69" s="52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</row>
    <row r="70" ht="15.75" customHeight="1">
      <c r="A70" s="40"/>
      <c r="B70" s="41"/>
      <c r="C70" s="49" t="s">
        <v>42</v>
      </c>
      <c r="D70" s="43" t="s">
        <v>29</v>
      </c>
      <c r="E70" s="43" t="s">
        <v>43</v>
      </c>
      <c r="F70" s="44" t="s">
        <v>417</v>
      </c>
      <c r="G70" s="45" t="s">
        <v>418</v>
      </c>
      <c r="H70" s="45" t="s">
        <v>419</v>
      </c>
      <c r="I70" s="46" t="s">
        <v>420</v>
      </c>
      <c r="J70" s="45" t="s">
        <v>421</v>
      </c>
      <c r="K70" s="45" t="s">
        <v>422</v>
      </c>
      <c r="L70" s="47" t="s">
        <v>64</v>
      </c>
      <c r="M70" s="48" t="s">
        <v>38</v>
      </c>
      <c r="N70" s="49" t="s">
        <v>39</v>
      </c>
      <c r="O70" s="44" t="s">
        <v>4</v>
      </c>
      <c r="P70" s="44" t="s">
        <v>40</v>
      </c>
      <c r="Q70" s="44" t="s">
        <v>50</v>
      </c>
      <c r="R70" s="50"/>
      <c r="S70" s="53" t="str">
        <f t="shared" si="1"/>
        <v/>
      </c>
      <c r="T70" s="44" t="s">
        <v>41</v>
      </c>
      <c r="U70" s="44"/>
      <c r="V70" s="52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</row>
    <row r="71" ht="15.75" customHeight="1">
      <c r="A71" s="40"/>
      <c r="B71" s="41"/>
      <c r="C71" s="49" t="s">
        <v>42</v>
      </c>
      <c r="D71" s="43" t="s">
        <v>29</v>
      </c>
      <c r="E71" s="43" t="s">
        <v>43</v>
      </c>
      <c r="F71" s="44" t="s">
        <v>424</v>
      </c>
      <c r="G71" s="45" t="s">
        <v>425</v>
      </c>
      <c r="H71" s="45" t="s">
        <v>426</v>
      </c>
      <c r="I71" s="46" t="s">
        <v>427</v>
      </c>
      <c r="J71" s="45" t="s">
        <v>428</v>
      </c>
      <c r="K71" s="45" t="s">
        <v>429</v>
      </c>
      <c r="L71" s="47" t="s">
        <v>153</v>
      </c>
      <c r="M71" s="48" t="s">
        <v>38</v>
      </c>
      <c r="N71" s="49" t="s">
        <v>39</v>
      </c>
      <c r="O71" s="44" t="s">
        <v>4</v>
      </c>
      <c r="P71" s="44" t="s">
        <v>40</v>
      </c>
      <c r="Q71" s="44" t="s">
        <v>50</v>
      </c>
      <c r="R71" s="50"/>
      <c r="S71" s="53" t="str">
        <f t="shared" si="1"/>
        <v/>
      </c>
      <c r="T71" s="44" t="s">
        <v>41</v>
      </c>
      <c r="U71" s="44"/>
      <c r="V71" s="52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</row>
    <row r="72" ht="15.75" customHeight="1">
      <c r="A72" s="40"/>
      <c r="B72" s="41"/>
      <c r="C72" s="49" t="s">
        <v>42</v>
      </c>
      <c r="D72" s="43" t="s">
        <v>29</v>
      </c>
      <c r="E72" s="43" t="s">
        <v>43</v>
      </c>
      <c r="F72" s="44" t="s">
        <v>430</v>
      </c>
      <c r="G72" s="45" t="s">
        <v>431</v>
      </c>
      <c r="H72" s="45" t="s">
        <v>432</v>
      </c>
      <c r="I72" s="46" t="s">
        <v>433</v>
      </c>
      <c r="J72" s="45" t="s">
        <v>434</v>
      </c>
      <c r="K72" s="45" t="s">
        <v>435</v>
      </c>
      <c r="L72" s="47" t="s">
        <v>64</v>
      </c>
      <c r="M72" s="48" t="s">
        <v>38</v>
      </c>
      <c r="N72" s="49" t="s">
        <v>39</v>
      </c>
      <c r="O72" s="44" t="s">
        <v>4</v>
      </c>
      <c r="P72" s="44" t="s">
        <v>40</v>
      </c>
      <c r="Q72" s="44" t="s">
        <v>50</v>
      </c>
      <c r="R72" s="50"/>
      <c r="S72" s="53" t="str">
        <f t="shared" si="1"/>
        <v/>
      </c>
      <c r="T72" s="44" t="s">
        <v>41</v>
      </c>
      <c r="U72" s="44"/>
      <c r="V72" s="52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</row>
    <row r="73" ht="15.75" customHeight="1">
      <c r="A73" s="40"/>
      <c r="B73" s="41"/>
      <c r="C73" s="49" t="s">
        <v>42</v>
      </c>
      <c r="D73" s="43" t="s">
        <v>107</v>
      </c>
      <c r="E73" s="43" t="s">
        <v>108</v>
      </c>
      <c r="F73" s="44" t="s">
        <v>436</v>
      </c>
      <c r="G73" s="45" t="s">
        <v>437</v>
      </c>
      <c r="H73" s="45" t="s">
        <v>438</v>
      </c>
      <c r="I73" s="46" t="s">
        <v>439</v>
      </c>
      <c r="J73" s="45" t="s">
        <v>440</v>
      </c>
      <c r="K73" s="45" t="s">
        <v>441</v>
      </c>
      <c r="L73" s="47" t="s">
        <v>37</v>
      </c>
      <c r="M73" s="48" t="s">
        <v>38</v>
      </c>
      <c r="N73" s="49" t="s">
        <v>39</v>
      </c>
      <c r="O73" s="44" t="s">
        <v>4</v>
      </c>
      <c r="P73" s="44" t="s">
        <v>40</v>
      </c>
      <c r="Q73" s="44" t="s">
        <v>50</v>
      </c>
      <c r="R73" s="50"/>
      <c r="S73" s="53" t="str">
        <f t="shared" si="1"/>
        <v/>
      </c>
      <c r="T73" s="44" t="s">
        <v>41</v>
      </c>
      <c r="U73" s="44"/>
      <c r="V73" s="52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</row>
    <row r="74" ht="15.75" customHeight="1">
      <c r="A74" s="40"/>
      <c r="B74" s="41"/>
      <c r="C74" s="49" t="s">
        <v>42</v>
      </c>
      <c r="D74" s="43" t="s">
        <v>107</v>
      </c>
      <c r="E74" s="43" t="s">
        <v>108</v>
      </c>
      <c r="F74" s="44" t="s">
        <v>442</v>
      </c>
      <c r="G74" s="45" t="s">
        <v>443</v>
      </c>
      <c r="H74" s="45" t="s">
        <v>444</v>
      </c>
      <c r="I74" s="46" t="s">
        <v>445</v>
      </c>
      <c r="J74" s="45" t="s">
        <v>446</v>
      </c>
      <c r="K74" s="45" t="s">
        <v>447</v>
      </c>
      <c r="L74" s="47" t="s">
        <v>37</v>
      </c>
      <c r="M74" s="48" t="s">
        <v>38</v>
      </c>
      <c r="N74" s="49" t="s">
        <v>39</v>
      </c>
      <c r="O74" s="44" t="s">
        <v>4</v>
      </c>
      <c r="P74" s="44" t="s">
        <v>40</v>
      </c>
      <c r="Q74" s="44" t="s">
        <v>50</v>
      </c>
      <c r="R74" s="50"/>
      <c r="S74" s="53" t="str">
        <f t="shared" si="1"/>
        <v/>
      </c>
      <c r="T74" s="44" t="s">
        <v>41</v>
      </c>
      <c r="U74" s="44"/>
      <c r="V74" s="52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</row>
    <row r="75" ht="15.75" customHeight="1">
      <c r="A75" s="40"/>
      <c r="B75" s="41"/>
      <c r="C75" s="49" t="s">
        <v>42</v>
      </c>
      <c r="D75" s="43" t="s">
        <v>29</v>
      </c>
      <c r="E75" s="43" t="s">
        <v>43</v>
      </c>
      <c r="F75" s="44" t="s">
        <v>448</v>
      </c>
      <c r="G75" s="45" t="s">
        <v>449</v>
      </c>
      <c r="H75" s="45" t="s">
        <v>450</v>
      </c>
      <c r="I75" s="46" t="s">
        <v>451</v>
      </c>
      <c r="J75" s="45" t="s">
        <v>452</v>
      </c>
      <c r="K75" s="45" t="s">
        <v>453</v>
      </c>
      <c r="L75" s="47" t="s">
        <v>64</v>
      </c>
      <c r="M75" s="48" t="s">
        <v>38</v>
      </c>
      <c r="N75" s="49" t="s">
        <v>39</v>
      </c>
      <c r="O75" s="44" t="s">
        <v>4</v>
      </c>
      <c r="P75" s="44" t="s">
        <v>40</v>
      </c>
      <c r="Q75" s="44" t="s">
        <v>50</v>
      </c>
      <c r="R75" s="50"/>
      <c r="S75" s="53" t="str">
        <f t="shared" si="1"/>
        <v/>
      </c>
      <c r="T75" s="44" t="s">
        <v>41</v>
      </c>
      <c r="U75" s="44"/>
      <c r="V75" s="52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</row>
    <row r="76" ht="15.75" customHeight="1">
      <c r="A76" s="40"/>
      <c r="B76" s="41"/>
      <c r="C76" s="49" t="s">
        <v>42</v>
      </c>
      <c r="D76" s="43" t="s">
        <v>29</v>
      </c>
      <c r="E76" s="43" t="s">
        <v>43</v>
      </c>
      <c r="F76" s="44" t="s">
        <v>454</v>
      </c>
      <c r="G76" s="45" t="s">
        <v>455</v>
      </c>
      <c r="H76" s="45" t="s">
        <v>456</v>
      </c>
      <c r="I76" s="46" t="s">
        <v>457</v>
      </c>
      <c r="J76" s="45" t="s">
        <v>458</v>
      </c>
      <c r="K76" s="45" t="s">
        <v>459</v>
      </c>
      <c r="L76" s="47" t="s">
        <v>64</v>
      </c>
      <c r="M76" s="48" t="s">
        <v>38</v>
      </c>
      <c r="N76" s="49" t="s">
        <v>39</v>
      </c>
      <c r="O76" s="44" t="s">
        <v>4</v>
      </c>
      <c r="P76" s="44" t="s">
        <v>40</v>
      </c>
      <c r="Q76" s="44" t="s">
        <v>50</v>
      </c>
      <c r="R76" s="50"/>
      <c r="S76" s="53" t="str">
        <f t="shared" si="1"/>
        <v/>
      </c>
      <c r="T76" s="44" t="s">
        <v>41</v>
      </c>
      <c r="U76" s="44"/>
      <c r="V76" s="52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</row>
    <row r="77" ht="15.75" customHeight="1">
      <c r="A77" s="40"/>
      <c r="B77" s="41"/>
      <c r="C77" s="7"/>
      <c r="D77" s="7"/>
      <c r="E77" s="39"/>
      <c r="F77" s="7"/>
      <c r="G77" s="23"/>
      <c r="H77" s="23"/>
      <c r="I77" s="23"/>
      <c r="J77" s="93"/>
      <c r="K77" s="93"/>
      <c r="L77" s="7"/>
      <c r="M77" s="7"/>
      <c r="N77" s="7"/>
      <c r="O77" s="7"/>
      <c r="P77" s="7"/>
      <c r="Q77" s="7"/>
      <c r="R77" s="7"/>
      <c r="S77" s="7"/>
      <c r="T77" s="7"/>
      <c r="U77" s="7"/>
      <c r="V77" s="39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</row>
    <row r="78" ht="15.75" customHeight="1">
      <c r="A78" s="40"/>
      <c r="B78" s="41"/>
      <c r="C78" s="7"/>
      <c r="D78" s="7"/>
      <c r="E78" s="39"/>
      <c r="F78" s="7"/>
      <c r="G78" s="23"/>
      <c r="H78" s="23"/>
      <c r="I78" s="23"/>
      <c r="J78" s="93"/>
      <c r="K78" s="93"/>
      <c r="L78" s="7"/>
      <c r="M78" s="7"/>
      <c r="N78" s="7"/>
      <c r="O78" s="7"/>
      <c r="P78" s="7"/>
      <c r="Q78" s="7"/>
      <c r="R78" s="7"/>
      <c r="S78" s="7"/>
      <c r="T78" s="7"/>
      <c r="U78" s="7"/>
      <c r="V78" s="39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</row>
    <row r="79" ht="15.75" customHeight="1">
      <c r="A79" s="40"/>
      <c r="B79" s="41"/>
      <c r="C79" s="7"/>
      <c r="D79" s="7"/>
      <c r="E79" s="39"/>
      <c r="F79" s="7"/>
      <c r="G79" s="23"/>
      <c r="H79" s="23"/>
      <c r="I79" s="23"/>
      <c r="J79" s="93"/>
      <c r="K79" s="93"/>
      <c r="L79" s="7"/>
      <c r="M79" s="7"/>
      <c r="N79" s="7"/>
      <c r="O79" s="7"/>
      <c r="P79" s="7"/>
      <c r="Q79" s="7"/>
      <c r="R79" s="7"/>
      <c r="S79" s="7"/>
      <c r="T79" s="7"/>
      <c r="U79" s="7"/>
      <c r="V79" s="39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</row>
    <row r="80" ht="15.75" customHeight="1">
      <c r="A80" s="40"/>
      <c r="B80" s="41"/>
      <c r="C80" s="7"/>
      <c r="D80" s="7"/>
      <c r="E80" s="39"/>
      <c r="F80" s="7"/>
      <c r="G80" s="23"/>
      <c r="H80" s="23"/>
      <c r="I80" s="23"/>
      <c r="J80" s="93"/>
      <c r="K80" s="93"/>
      <c r="L80" s="7"/>
      <c r="M80" s="7"/>
      <c r="N80" s="7"/>
      <c r="O80" s="7"/>
      <c r="P80" s="7"/>
      <c r="Q80" s="7"/>
      <c r="R80" s="7"/>
      <c r="S80" s="7"/>
      <c r="T80" s="7"/>
      <c r="U80" s="7"/>
      <c r="V80" s="39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</row>
    <row r="81" ht="15.75" customHeight="1">
      <c r="A81" s="40"/>
      <c r="B81" s="41"/>
      <c r="C81" s="7"/>
      <c r="D81" s="7"/>
      <c r="E81" s="39"/>
      <c r="F81" s="7"/>
      <c r="G81" s="23"/>
      <c r="H81" s="23"/>
      <c r="I81" s="23"/>
      <c r="J81" s="93"/>
      <c r="K81" s="93"/>
      <c r="L81" s="7"/>
      <c r="M81" s="7"/>
      <c r="N81" s="7"/>
      <c r="O81" s="7"/>
      <c r="P81" s="7"/>
      <c r="Q81" s="7"/>
      <c r="R81" s="7"/>
      <c r="S81" s="7"/>
      <c r="T81" s="7"/>
      <c r="U81" s="7"/>
      <c r="V81" s="39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</row>
    <row r="82" ht="15.75" customHeight="1">
      <c r="A82" s="40"/>
      <c r="B82" s="41"/>
      <c r="C82" s="7"/>
      <c r="D82" s="7"/>
      <c r="E82" s="39"/>
      <c r="F82" s="7"/>
      <c r="G82" s="23"/>
      <c r="H82" s="23"/>
      <c r="I82" s="23"/>
      <c r="J82" s="93"/>
      <c r="K82" s="93"/>
      <c r="L82" s="7"/>
      <c r="M82" s="7"/>
      <c r="N82" s="7"/>
      <c r="O82" s="7"/>
      <c r="P82" s="7"/>
      <c r="Q82" s="7"/>
      <c r="R82" s="7"/>
      <c r="S82" s="7"/>
      <c r="T82" s="7"/>
      <c r="U82" s="7"/>
      <c r="V82" s="39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</row>
    <row r="83" ht="15.75" customHeight="1">
      <c r="A83" s="40"/>
      <c r="B83" s="41"/>
      <c r="C83" s="33" t="s">
        <v>460</v>
      </c>
      <c r="D83" s="34" t="s">
        <v>40</v>
      </c>
      <c r="E83" s="34" t="s">
        <v>461</v>
      </c>
      <c r="F83" s="7"/>
      <c r="G83" s="23"/>
      <c r="H83" s="23"/>
      <c r="I83" s="23"/>
      <c r="J83" s="93"/>
      <c r="K83" s="93"/>
      <c r="L83" s="7"/>
      <c r="M83" s="7"/>
      <c r="N83" s="7"/>
      <c r="O83" s="7"/>
      <c r="P83" s="7"/>
      <c r="Q83" s="7"/>
      <c r="R83" s="7"/>
      <c r="S83" s="7"/>
      <c r="T83" s="7"/>
      <c r="U83" s="7"/>
      <c r="V83" s="39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</row>
    <row r="84" ht="15.75" customHeight="1">
      <c r="A84" s="40"/>
      <c r="B84" s="41"/>
      <c r="C84" s="33"/>
      <c r="D84" s="44">
        <f>COUNTIFS($P$11:$P$76,"Manual",$C$11:$C$76,"&lt;&gt;Selecciona...")</f>
        <v>65</v>
      </c>
      <c r="E84" s="44">
        <f>COUNTIFS($P$11:$P$76,"Automatizada",$C$11:$C$76,"&lt;&gt;Selecciona...")</f>
        <v>0</v>
      </c>
      <c r="F84" s="7"/>
      <c r="G84" s="23"/>
      <c r="H84" s="23"/>
      <c r="I84" s="23"/>
      <c r="J84" s="93"/>
      <c r="K84" s="93"/>
      <c r="L84" s="7"/>
      <c r="M84" s="7"/>
      <c r="N84" s="7"/>
      <c r="O84" s="7"/>
      <c r="P84" s="7"/>
      <c r="Q84" s="7"/>
      <c r="R84" s="7"/>
      <c r="S84" s="7"/>
      <c r="T84" s="7"/>
      <c r="U84" s="7"/>
      <c r="V84" s="39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</row>
    <row r="85" ht="15.75" customHeight="1">
      <c r="A85" s="40"/>
      <c r="B85" s="41"/>
      <c r="C85" s="33" t="s">
        <v>462</v>
      </c>
      <c r="D85" s="44">
        <f>COUNTIFS($P$11:$P$76,"Manual",$T$11:$T$76,"Pasó",$C$11:$C$76,"&lt;&gt;Selecciona...")</f>
        <v>0</v>
      </c>
      <c r="E85" s="44">
        <f>COUNTIFS($P$11:$P$76,"Automatizada",$T$11:$T$76,"Pasó",$C$11:$C$76,"&lt;&gt;Selecciona...")</f>
        <v>0</v>
      </c>
      <c r="F85" s="7"/>
      <c r="G85" s="23"/>
      <c r="H85" s="23"/>
      <c r="I85" s="23"/>
      <c r="J85" s="93"/>
      <c r="K85" s="93"/>
      <c r="L85" s="7"/>
      <c r="M85" s="7"/>
      <c r="N85" s="7"/>
      <c r="O85" s="7"/>
      <c r="P85" s="7"/>
      <c r="Q85" s="7"/>
      <c r="R85" s="7"/>
      <c r="S85" s="7"/>
      <c r="T85" s="7"/>
      <c r="U85" s="7"/>
      <c r="V85" s="39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</row>
    <row r="86" ht="15.75" customHeight="1">
      <c r="A86" s="40"/>
      <c r="B86" s="41"/>
      <c r="C86" s="33" t="s">
        <v>463</v>
      </c>
      <c r="D86" s="44">
        <f>COUNTIFS($P$11:$P$76,"Manual",$T$11:$T$76,"Falló",$C$11:$C$76,"&lt;&gt;Selecciona...")</f>
        <v>0</v>
      </c>
      <c r="E86" s="44">
        <f>COUNTIFS($P$11:$P$76,"Automatizada",$T$11:$T$76,"Falló",$C$11:$C$76,"&lt;&gt;Selecciona...")</f>
        <v>0</v>
      </c>
      <c r="F86" s="7"/>
      <c r="G86" s="23"/>
      <c r="H86" s="23"/>
      <c r="I86" s="23"/>
      <c r="J86" s="93"/>
      <c r="K86" s="93"/>
      <c r="L86" s="7"/>
      <c r="M86" s="7"/>
      <c r="N86" s="7"/>
      <c r="O86" s="7"/>
      <c r="P86" s="7"/>
      <c r="Q86" s="7"/>
      <c r="R86" s="7"/>
      <c r="S86" s="7"/>
      <c r="T86" s="7"/>
      <c r="U86" s="7"/>
      <c r="V86" s="39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</row>
    <row r="87" ht="15.75" customHeight="1">
      <c r="A87" s="40"/>
      <c r="B87" s="41"/>
      <c r="C87" s="33" t="s">
        <v>464</v>
      </c>
      <c r="D87" s="44">
        <f>COUNTIFS($P$11:$P$76,"Manual",$T$11:$T$76,"Bloqueado",$C$11:$C$76,"&lt;&gt;Selecciona...")</f>
        <v>0</v>
      </c>
      <c r="E87" s="44">
        <f>COUNTIFS($P$11:$P$76,"Automatizada",$T$11:$T$76,"Bloqueado",$C$11:$C$76,"&lt;&gt;Selecciona...")</f>
        <v>0</v>
      </c>
      <c r="F87" s="7"/>
      <c r="G87" s="23"/>
      <c r="H87" s="23"/>
      <c r="I87" s="23"/>
      <c r="J87" s="93"/>
      <c r="K87" s="93"/>
      <c r="L87" s="7"/>
      <c r="M87" s="7"/>
      <c r="N87" s="7"/>
      <c r="O87" s="7"/>
      <c r="P87" s="7"/>
      <c r="Q87" s="7"/>
      <c r="R87" s="7"/>
      <c r="S87" s="7"/>
      <c r="T87" s="7"/>
      <c r="U87" s="7"/>
      <c r="V87" s="39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</row>
    <row r="88" ht="15.75" customHeight="1">
      <c r="A88" s="40"/>
      <c r="B88" s="41"/>
      <c r="C88" s="33" t="s">
        <v>465</v>
      </c>
      <c r="D88" s="44">
        <f t="shared" ref="D88:E88" si="2">SUM(D85:D87)</f>
        <v>0</v>
      </c>
      <c r="E88" s="44">
        <f t="shared" si="2"/>
        <v>0</v>
      </c>
      <c r="F88" s="7"/>
      <c r="G88" s="23"/>
      <c r="H88" s="23"/>
      <c r="I88" s="23"/>
      <c r="J88" s="93"/>
      <c r="K88" s="93"/>
      <c r="L88" s="7"/>
      <c r="M88" s="7"/>
      <c r="N88" s="7"/>
      <c r="O88" s="7"/>
      <c r="P88" s="7"/>
      <c r="Q88" s="7"/>
      <c r="R88" s="7"/>
      <c r="S88" s="7"/>
      <c r="T88" s="7"/>
      <c r="U88" s="7"/>
      <c r="V88" s="39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</row>
    <row r="89" ht="15.75" customHeight="1">
      <c r="A89" s="40"/>
      <c r="B89" s="41"/>
      <c r="C89" s="33" t="s">
        <v>466</v>
      </c>
      <c r="D89" s="94">
        <f t="shared" ref="D89:E89" si="3">IFERROR(D85/D88,0)</f>
        <v>0</v>
      </c>
      <c r="E89" s="94">
        <f t="shared" si="3"/>
        <v>0</v>
      </c>
      <c r="F89" s="7"/>
      <c r="G89" s="23"/>
      <c r="H89" s="23"/>
      <c r="I89" s="23"/>
      <c r="J89" s="93"/>
      <c r="K89" s="93"/>
      <c r="L89" s="7"/>
      <c r="M89" s="7"/>
      <c r="N89" s="7"/>
      <c r="O89" s="7"/>
      <c r="P89" s="7"/>
      <c r="Q89" s="7"/>
      <c r="R89" s="7"/>
      <c r="S89" s="7"/>
      <c r="T89" s="7"/>
      <c r="U89" s="7"/>
      <c r="V89" s="39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</row>
    <row r="90" ht="15.75" customHeight="1">
      <c r="A90" s="40"/>
      <c r="B90" s="41"/>
      <c r="D90" s="7" t="s">
        <v>467</v>
      </c>
      <c r="F90" s="7"/>
      <c r="G90" s="23"/>
      <c r="H90" s="23"/>
      <c r="I90" s="23"/>
      <c r="J90" s="93"/>
      <c r="K90" s="93"/>
      <c r="L90" s="7"/>
      <c r="M90" s="7"/>
      <c r="N90" s="7"/>
      <c r="O90" s="7"/>
      <c r="P90" s="7"/>
      <c r="Q90" s="7"/>
      <c r="R90" s="7"/>
      <c r="S90" s="7"/>
      <c r="T90" s="7"/>
      <c r="U90" s="7"/>
      <c r="V90" s="39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</row>
    <row r="91" ht="15.75" customHeight="1">
      <c r="A91" s="40"/>
      <c r="B91" s="41"/>
      <c r="C91" s="7"/>
      <c r="D91" s="7"/>
      <c r="E91" s="39"/>
      <c r="F91" s="7"/>
      <c r="G91" s="23"/>
      <c r="H91" s="23"/>
      <c r="I91" s="23"/>
      <c r="J91" s="93"/>
      <c r="K91" s="93"/>
      <c r="L91" s="7"/>
      <c r="M91" s="7"/>
      <c r="N91" s="7"/>
      <c r="O91" s="7"/>
      <c r="P91" s="7"/>
      <c r="Q91" s="7"/>
      <c r="R91" s="7"/>
      <c r="S91" s="7"/>
      <c r="T91" s="7"/>
      <c r="U91" s="7"/>
      <c r="V91" s="39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</row>
    <row r="92" ht="15.75" customHeight="1">
      <c r="A92" s="40"/>
      <c r="B92" s="41"/>
      <c r="C92" s="7"/>
      <c r="D92" s="7"/>
      <c r="E92" s="39"/>
      <c r="F92" s="7"/>
      <c r="G92" s="23"/>
      <c r="H92" s="23"/>
      <c r="I92" s="23"/>
      <c r="J92" s="93"/>
      <c r="K92" s="93"/>
      <c r="L92" s="7"/>
      <c r="M92" s="7"/>
      <c r="N92" s="7"/>
      <c r="O92" s="7"/>
      <c r="P92" s="7"/>
      <c r="Q92" s="7"/>
      <c r="R92" s="7"/>
      <c r="S92" s="7"/>
      <c r="T92" s="7"/>
      <c r="U92" s="7"/>
      <c r="V92" s="39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</row>
    <row r="93" ht="15.75" customHeight="1">
      <c r="A93" s="40"/>
      <c r="B93" s="41"/>
      <c r="C93" s="7"/>
      <c r="D93" s="7"/>
      <c r="E93" s="39"/>
      <c r="F93" s="7"/>
      <c r="G93" s="23"/>
      <c r="H93" s="23"/>
      <c r="I93" s="23"/>
      <c r="J93" s="93"/>
      <c r="K93" s="93"/>
      <c r="L93" s="7"/>
      <c r="M93" s="7"/>
      <c r="N93" s="7"/>
      <c r="O93" s="7"/>
      <c r="P93" s="7"/>
      <c r="Q93" s="7"/>
      <c r="R93" s="7"/>
      <c r="S93" s="7"/>
      <c r="T93" s="7"/>
      <c r="U93" s="7"/>
      <c r="V93" s="39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</row>
    <row r="94" ht="15.75" customHeight="1">
      <c r="A94" s="40"/>
      <c r="B94" s="41"/>
      <c r="C94" s="7"/>
      <c r="D94" s="7"/>
      <c r="E94" s="39"/>
      <c r="F94" s="7"/>
      <c r="G94" s="23"/>
      <c r="H94" s="23"/>
      <c r="I94" s="23"/>
      <c r="J94" s="93"/>
      <c r="K94" s="93"/>
      <c r="L94" s="7"/>
      <c r="M94" s="7"/>
      <c r="N94" s="7"/>
      <c r="O94" s="7"/>
      <c r="P94" s="7"/>
      <c r="Q94" s="7"/>
      <c r="R94" s="7"/>
      <c r="S94" s="7"/>
      <c r="T94" s="7"/>
      <c r="U94" s="7"/>
      <c r="V94" s="39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</row>
    <row r="95" ht="15.75" customHeight="1">
      <c r="A95" s="40"/>
      <c r="B95" s="41"/>
      <c r="C95" s="7"/>
      <c r="D95" s="7"/>
      <c r="E95" s="39"/>
      <c r="F95" s="7"/>
      <c r="G95" s="23"/>
      <c r="H95" s="23"/>
      <c r="I95" s="23"/>
      <c r="J95" s="93"/>
      <c r="K95" s="93"/>
      <c r="L95" s="7"/>
      <c r="M95" s="7"/>
      <c r="N95" s="7"/>
      <c r="O95" s="7"/>
      <c r="P95" s="7"/>
      <c r="Q95" s="7"/>
      <c r="R95" s="7"/>
      <c r="S95" s="7"/>
      <c r="T95" s="7"/>
      <c r="U95" s="7"/>
      <c r="V95" s="39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</row>
    <row r="96" ht="15.75" customHeight="1">
      <c r="A96" s="40"/>
      <c r="B96" s="41"/>
      <c r="C96" s="7"/>
      <c r="D96" s="7"/>
      <c r="E96" s="39"/>
      <c r="F96" s="7"/>
      <c r="G96" s="23"/>
      <c r="H96" s="23"/>
      <c r="I96" s="23"/>
      <c r="J96" s="93"/>
      <c r="K96" s="93"/>
      <c r="L96" s="7"/>
      <c r="M96" s="7"/>
      <c r="N96" s="7"/>
      <c r="O96" s="7"/>
      <c r="P96" s="7"/>
      <c r="Q96" s="7"/>
      <c r="R96" s="7"/>
      <c r="S96" s="7"/>
      <c r="T96" s="7"/>
      <c r="U96" s="7"/>
      <c r="V96" s="39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</row>
    <row r="97" ht="15.75" customHeight="1">
      <c r="A97" s="40"/>
      <c r="B97" s="41"/>
      <c r="C97" s="7"/>
      <c r="D97" s="7"/>
      <c r="E97" s="39"/>
      <c r="F97" s="7"/>
      <c r="G97" s="23"/>
      <c r="H97" s="23"/>
      <c r="I97" s="23"/>
      <c r="J97" s="93"/>
      <c r="K97" s="93"/>
      <c r="L97" s="7"/>
      <c r="M97" s="7"/>
      <c r="N97" s="7"/>
      <c r="O97" s="7"/>
      <c r="P97" s="7"/>
      <c r="Q97" s="7"/>
      <c r="R97" s="7"/>
      <c r="S97" s="7"/>
      <c r="T97" s="7"/>
      <c r="U97" s="7"/>
      <c r="V97" s="39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</row>
    <row r="98" ht="15.75" customHeight="1">
      <c r="A98" s="40"/>
      <c r="B98" s="41"/>
      <c r="C98" s="7"/>
      <c r="D98" s="7"/>
      <c r="E98" s="39"/>
      <c r="F98" s="7"/>
      <c r="G98" s="23"/>
      <c r="H98" s="23"/>
      <c r="I98" s="23"/>
      <c r="J98" s="93"/>
      <c r="K98" s="93"/>
      <c r="L98" s="7"/>
      <c r="M98" s="7"/>
      <c r="N98" s="7"/>
      <c r="O98" s="7"/>
      <c r="P98" s="7"/>
      <c r="Q98" s="7"/>
      <c r="R98" s="7"/>
      <c r="S98" s="7"/>
      <c r="T98" s="7"/>
      <c r="U98" s="7"/>
      <c r="V98" s="39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</row>
    <row r="99" ht="15.75" customHeight="1">
      <c r="A99" s="40"/>
      <c r="B99" s="41"/>
      <c r="C99" s="7"/>
      <c r="D99" s="7"/>
      <c r="E99" s="39"/>
      <c r="F99" s="7"/>
      <c r="G99" s="23"/>
      <c r="H99" s="23"/>
      <c r="I99" s="23"/>
      <c r="J99" s="93"/>
      <c r="K99" s="93"/>
      <c r="L99" s="7"/>
      <c r="M99" s="7"/>
      <c r="N99" s="7"/>
      <c r="O99" s="7"/>
      <c r="P99" s="7"/>
      <c r="Q99" s="7"/>
      <c r="R99" s="7"/>
      <c r="S99" s="7"/>
      <c r="T99" s="7"/>
      <c r="U99" s="7"/>
      <c r="V99" s="39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</row>
    <row r="100" ht="15.75" customHeight="1">
      <c r="A100" s="40"/>
      <c r="B100" s="41"/>
      <c r="C100" s="7"/>
      <c r="D100" s="7"/>
      <c r="E100" s="39"/>
      <c r="F100" s="7"/>
      <c r="G100" s="23"/>
      <c r="H100" s="23"/>
      <c r="I100" s="23"/>
      <c r="J100" s="93"/>
      <c r="K100" s="93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39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</row>
    <row r="101" ht="15.75" customHeight="1">
      <c r="A101" s="40"/>
      <c r="B101" s="41"/>
      <c r="C101" s="7"/>
      <c r="D101" s="7"/>
      <c r="E101" s="39"/>
      <c r="F101" s="7"/>
      <c r="G101" s="23"/>
      <c r="H101" s="23"/>
      <c r="I101" s="23"/>
      <c r="J101" s="93"/>
      <c r="K101" s="93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39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</row>
    <row r="102" ht="15.75" customHeight="1">
      <c r="A102" s="40"/>
      <c r="B102" s="41"/>
      <c r="C102" s="7"/>
      <c r="D102" s="7"/>
      <c r="E102" s="39"/>
      <c r="F102" s="7"/>
      <c r="G102" s="23"/>
      <c r="H102" s="23"/>
      <c r="I102" s="23"/>
      <c r="J102" s="93"/>
      <c r="K102" s="93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39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</row>
    <row r="103" ht="15.75" customHeight="1">
      <c r="A103" s="40"/>
      <c r="B103" s="41"/>
      <c r="C103" s="7"/>
      <c r="D103" s="7"/>
      <c r="E103" s="39"/>
      <c r="F103" s="7"/>
      <c r="G103" s="23"/>
      <c r="H103" s="23"/>
      <c r="I103" s="23"/>
      <c r="J103" s="93"/>
      <c r="K103" s="93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39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</row>
    <row r="104" ht="15.75" customHeight="1">
      <c r="A104" s="40"/>
      <c r="B104" s="41"/>
      <c r="C104" s="7"/>
      <c r="D104" s="7"/>
      <c r="E104" s="39"/>
      <c r="F104" s="7"/>
      <c r="G104" s="23"/>
      <c r="H104" s="23"/>
      <c r="I104" s="23"/>
      <c r="J104" s="93"/>
      <c r="K104" s="93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39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</row>
    <row r="105" ht="15.75" customHeight="1">
      <c r="A105" s="40"/>
      <c r="B105" s="41"/>
      <c r="C105" s="7"/>
      <c r="D105" s="7"/>
      <c r="E105" s="39"/>
      <c r="F105" s="7"/>
      <c r="G105" s="23"/>
      <c r="H105" s="23"/>
      <c r="I105" s="23"/>
      <c r="J105" s="93"/>
      <c r="K105" s="93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39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</row>
    <row r="106" ht="15.75" customHeight="1">
      <c r="A106" s="40"/>
      <c r="B106" s="41"/>
      <c r="C106" s="7"/>
      <c r="D106" s="7"/>
      <c r="E106" s="39"/>
      <c r="F106" s="7"/>
      <c r="G106" s="23"/>
      <c r="H106" s="23"/>
      <c r="I106" s="23"/>
      <c r="J106" s="93"/>
      <c r="K106" s="93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39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</row>
    <row r="107" ht="15.75" customHeight="1">
      <c r="A107" s="40"/>
      <c r="B107" s="41"/>
      <c r="C107" s="7"/>
      <c r="D107" s="7"/>
      <c r="E107" s="39"/>
      <c r="F107" s="7"/>
      <c r="G107" s="23"/>
      <c r="H107" s="23"/>
      <c r="I107" s="23"/>
      <c r="J107" s="93"/>
      <c r="K107" s="93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39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</row>
    <row r="108" ht="15.75" customHeight="1">
      <c r="A108" s="40"/>
      <c r="B108" s="41"/>
      <c r="C108" s="7"/>
      <c r="D108" s="7"/>
      <c r="E108" s="39"/>
      <c r="F108" s="7"/>
      <c r="G108" s="23"/>
      <c r="H108" s="23"/>
      <c r="I108" s="23"/>
      <c r="J108" s="93"/>
      <c r="K108" s="93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39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</row>
    <row r="109" ht="15.75" customHeight="1">
      <c r="A109" s="40"/>
      <c r="B109" s="41"/>
      <c r="C109" s="7"/>
      <c r="D109" s="7"/>
      <c r="E109" s="39"/>
      <c r="F109" s="7"/>
      <c r="G109" s="23"/>
      <c r="H109" s="23"/>
      <c r="I109" s="23"/>
      <c r="J109" s="93"/>
      <c r="K109" s="93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39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</row>
    <row r="110" ht="15.75" customHeight="1">
      <c r="A110" s="40"/>
      <c r="B110" s="41"/>
      <c r="C110" s="7"/>
      <c r="D110" s="7"/>
      <c r="E110" s="39"/>
      <c r="F110" s="7"/>
      <c r="G110" s="23"/>
      <c r="H110" s="23"/>
      <c r="I110" s="23"/>
      <c r="J110" s="93"/>
      <c r="K110" s="93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39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</row>
    <row r="111" ht="15.75" customHeight="1">
      <c r="A111" s="40"/>
      <c r="B111" s="41"/>
      <c r="C111" s="7"/>
      <c r="D111" s="7"/>
      <c r="E111" s="39"/>
      <c r="F111" s="7"/>
      <c r="G111" s="23"/>
      <c r="H111" s="23"/>
      <c r="I111" s="23"/>
      <c r="J111" s="93"/>
      <c r="K111" s="93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39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</row>
    <row r="112" ht="15.75" customHeight="1">
      <c r="A112" s="40"/>
      <c r="B112" s="41"/>
      <c r="C112" s="7"/>
      <c r="D112" s="7"/>
      <c r="E112" s="39"/>
      <c r="F112" s="7"/>
      <c r="G112" s="23"/>
      <c r="H112" s="23"/>
      <c r="I112" s="23"/>
      <c r="J112" s="93"/>
      <c r="K112" s="93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39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</row>
    <row r="113" ht="15.75" customHeight="1">
      <c r="A113" s="40"/>
      <c r="B113" s="41"/>
      <c r="C113" s="7"/>
      <c r="D113" s="7"/>
      <c r="E113" s="39"/>
      <c r="F113" s="7"/>
      <c r="G113" s="23"/>
      <c r="H113" s="23"/>
      <c r="I113" s="23"/>
      <c r="J113" s="93"/>
      <c r="K113" s="93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39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</row>
    <row r="114" ht="15.75" customHeight="1">
      <c r="A114" s="40"/>
      <c r="B114" s="41"/>
      <c r="C114" s="7"/>
      <c r="D114" s="7"/>
      <c r="E114" s="39"/>
      <c r="F114" s="7"/>
      <c r="G114" s="23"/>
      <c r="H114" s="23"/>
      <c r="I114" s="23"/>
      <c r="J114" s="93"/>
      <c r="K114" s="93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39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</row>
    <row r="115" ht="15.75" customHeight="1">
      <c r="A115" s="40"/>
      <c r="B115" s="41"/>
      <c r="C115" s="7"/>
      <c r="D115" s="7"/>
      <c r="E115" s="39"/>
      <c r="F115" s="7"/>
      <c r="G115" s="23"/>
      <c r="H115" s="23"/>
      <c r="I115" s="23"/>
      <c r="J115" s="93"/>
      <c r="K115" s="93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39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</row>
    <row r="116" ht="15.75" customHeight="1">
      <c r="A116" s="40"/>
      <c r="B116" s="41"/>
      <c r="C116" s="7"/>
      <c r="D116" s="7"/>
      <c r="E116" s="39"/>
      <c r="F116" s="7"/>
      <c r="G116" s="23"/>
      <c r="H116" s="23"/>
      <c r="I116" s="23"/>
      <c r="J116" s="93"/>
      <c r="K116" s="93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39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</row>
    <row r="117" ht="15.75" customHeight="1">
      <c r="A117" s="7"/>
      <c r="B117" s="19"/>
      <c r="C117" s="7"/>
      <c r="D117" s="7"/>
      <c r="E117" s="39"/>
      <c r="F117" s="7"/>
      <c r="G117" s="23"/>
      <c r="H117" s="23"/>
      <c r="I117" s="23"/>
      <c r="J117" s="93"/>
      <c r="K117" s="93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39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ht="15.75" customHeight="1">
      <c r="A118" s="7"/>
      <c r="B118" s="19"/>
      <c r="C118" s="7"/>
      <c r="D118" s="7"/>
      <c r="E118" s="39"/>
      <c r="F118" s="7"/>
      <c r="G118" s="23"/>
      <c r="H118" s="23"/>
      <c r="I118" s="23"/>
      <c r="J118" s="93"/>
      <c r="K118" s="93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39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ht="15.75" customHeight="1">
      <c r="A119" s="7"/>
      <c r="B119" s="19"/>
      <c r="C119" s="7"/>
      <c r="D119" s="7"/>
      <c r="E119" s="39"/>
      <c r="F119" s="7"/>
      <c r="G119" s="23"/>
      <c r="H119" s="23"/>
      <c r="I119" s="23"/>
      <c r="J119" s="93"/>
      <c r="K119" s="93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39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ht="15.75" customHeight="1">
      <c r="A120" s="7"/>
      <c r="B120" s="19"/>
      <c r="C120" s="7"/>
      <c r="D120" s="7"/>
      <c r="E120" s="39"/>
      <c r="F120" s="7"/>
      <c r="G120" s="23"/>
      <c r="H120" s="23"/>
      <c r="I120" s="23"/>
      <c r="J120" s="93"/>
      <c r="K120" s="93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39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ht="15.75" customHeight="1">
      <c r="A121" s="7"/>
      <c r="B121" s="19"/>
      <c r="C121" s="7"/>
      <c r="D121" s="7"/>
      <c r="E121" s="39"/>
      <c r="F121" s="7"/>
      <c r="G121" s="23"/>
      <c r="H121" s="23"/>
      <c r="I121" s="23"/>
      <c r="J121" s="93"/>
      <c r="K121" s="93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39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ht="15.75" customHeight="1">
      <c r="A122" s="7"/>
      <c r="B122" s="19"/>
      <c r="C122" s="7"/>
      <c r="D122" s="7"/>
      <c r="E122" s="39"/>
      <c r="F122" s="7"/>
      <c r="G122" s="23"/>
      <c r="H122" s="23"/>
      <c r="I122" s="23"/>
      <c r="J122" s="93"/>
      <c r="K122" s="93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39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ht="15.75" customHeight="1">
      <c r="C123" s="7"/>
      <c r="D123" s="7"/>
      <c r="E123" s="39"/>
      <c r="F123" s="7"/>
      <c r="G123" s="23"/>
      <c r="H123" s="23"/>
      <c r="I123" s="23"/>
      <c r="J123" s="93"/>
      <c r="K123" s="93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39"/>
    </row>
    <row r="124" ht="15.75" customHeight="1">
      <c r="C124" s="7"/>
      <c r="D124" s="7"/>
      <c r="E124" s="39"/>
      <c r="F124" s="7"/>
      <c r="G124" s="23"/>
      <c r="H124" s="23"/>
      <c r="I124" s="23"/>
      <c r="J124" s="93"/>
      <c r="K124" s="93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39"/>
    </row>
    <row r="125" ht="15.75" customHeight="1">
      <c r="C125" s="7"/>
      <c r="D125" s="7"/>
      <c r="E125" s="39"/>
      <c r="F125" s="7"/>
      <c r="G125" s="23"/>
      <c r="H125" s="23"/>
      <c r="I125" s="23"/>
      <c r="J125" s="93"/>
      <c r="K125" s="93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39"/>
    </row>
    <row r="126" ht="15.75" customHeight="1">
      <c r="C126" s="7"/>
      <c r="D126" s="7"/>
      <c r="E126" s="39"/>
      <c r="F126" s="7"/>
      <c r="G126" s="23"/>
      <c r="H126" s="23"/>
      <c r="I126" s="23"/>
      <c r="J126" s="93"/>
      <c r="K126" s="93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39"/>
    </row>
    <row r="127" ht="15.75" customHeight="1">
      <c r="C127" s="7"/>
      <c r="D127" s="7"/>
      <c r="E127" s="39"/>
      <c r="F127" s="7"/>
      <c r="G127" s="23"/>
      <c r="H127" s="23"/>
      <c r="I127" s="23"/>
      <c r="J127" s="93"/>
      <c r="K127" s="93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39"/>
    </row>
    <row r="128" ht="15.75" customHeight="1">
      <c r="C128" s="7"/>
      <c r="D128" s="7"/>
      <c r="E128" s="39"/>
      <c r="F128" s="7"/>
      <c r="G128" s="23"/>
      <c r="H128" s="23"/>
      <c r="I128" s="23"/>
      <c r="J128" s="93"/>
      <c r="K128" s="93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39"/>
    </row>
    <row r="129" ht="15.75" customHeight="1">
      <c r="C129" s="7"/>
      <c r="D129" s="7"/>
      <c r="E129" s="39"/>
      <c r="F129" s="7"/>
      <c r="G129" s="23"/>
      <c r="H129" s="23"/>
      <c r="I129" s="23"/>
      <c r="J129" s="93"/>
      <c r="K129" s="93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39"/>
    </row>
    <row r="130" ht="15.75" customHeight="1">
      <c r="C130" s="7"/>
      <c r="D130" s="7"/>
      <c r="E130" s="39"/>
      <c r="F130" s="7"/>
      <c r="G130" s="23"/>
      <c r="H130" s="23"/>
      <c r="I130" s="23"/>
      <c r="J130" s="93"/>
      <c r="K130" s="93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39"/>
    </row>
    <row r="131" ht="15.75" customHeight="1">
      <c r="A131" s="7"/>
      <c r="B131" s="19"/>
      <c r="C131" s="7"/>
      <c r="D131" s="7"/>
      <c r="E131" s="39"/>
      <c r="F131" s="7"/>
      <c r="G131" s="23"/>
      <c r="H131" s="23"/>
      <c r="I131" s="23"/>
      <c r="J131" s="93"/>
      <c r="K131" s="93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39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ht="15.75" customHeight="1">
      <c r="A132" s="7"/>
      <c r="B132" s="19"/>
      <c r="C132" s="7"/>
      <c r="D132" s="7"/>
      <c r="E132" s="39"/>
      <c r="F132" s="7"/>
      <c r="G132" s="23"/>
      <c r="H132" s="23"/>
      <c r="I132" s="23"/>
      <c r="J132" s="93"/>
      <c r="K132" s="93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39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ht="15.75" customHeight="1">
      <c r="A133" s="7"/>
      <c r="B133" s="19"/>
      <c r="C133" s="7"/>
      <c r="D133" s="7"/>
      <c r="E133" s="39"/>
      <c r="F133" s="7"/>
      <c r="G133" s="23"/>
      <c r="H133" s="23"/>
      <c r="I133" s="23"/>
      <c r="J133" s="93"/>
      <c r="K133" s="93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39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ht="15.75" customHeight="1">
      <c r="A134" s="7"/>
      <c r="B134" s="19"/>
      <c r="C134" s="7"/>
      <c r="D134" s="7"/>
      <c r="E134" s="39"/>
      <c r="F134" s="7"/>
      <c r="G134" s="23"/>
      <c r="H134" s="23"/>
      <c r="I134" s="23"/>
      <c r="J134" s="93"/>
      <c r="K134" s="93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39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ht="15.75" customHeight="1">
      <c r="A135" s="7"/>
      <c r="B135" s="19"/>
      <c r="C135" s="7"/>
      <c r="D135" s="7"/>
      <c r="E135" s="39"/>
      <c r="F135" s="7"/>
      <c r="G135" s="23"/>
      <c r="H135" s="23"/>
      <c r="I135" s="23"/>
      <c r="J135" s="93"/>
      <c r="K135" s="93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39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ht="15.75" customHeight="1">
      <c r="A136" s="7"/>
      <c r="B136" s="19"/>
      <c r="C136" s="7"/>
      <c r="D136" s="7"/>
      <c r="E136" s="39"/>
      <c r="F136" s="7"/>
      <c r="G136" s="23"/>
      <c r="H136" s="23"/>
      <c r="I136" s="23"/>
      <c r="J136" s="93"/>
      <c r="K136" s="93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39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ht="15.75" customHeight="1">
      <c r="A137" s="7"/>
      <c r="B137" s="19"/>
      <c r="C137" s="7"/>
      <c r="D137" s="7"/>
      <c r="E137" s="39"/>
      <c r="F137" s="7"/>
      <c r="G137" s="23"/>
      <c r="H137" s="23"/>
      <c r="I137" s="23"/>
      <c r="J137" s="93"/>
      <c r="K137" s="93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39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ht="15.75" customHeight="1">
      <c r="A138" s="7"/>
      <c r="B138" s="19"/>
      <c r="C138" s="7"/>
      <c r="D138" s="7"/>
      <c r="E138" s="39"/>
      <c r="F138" s="7"/>
      <c r="G138" s="23"/>
      <c r="H138" s="23"/>
      <c r="I138" s="23"/>
      <c r="J138" s="93"/>
      <c r="K138" s="93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39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ht="15.75" customHeight="1">
      <c r="A139" s="7"/>
      <c r="B139" s="19"/>
      <c r="C139" s="7"/>
      <c r="D139" s="7"/>
      <c r="E139" s="39"/>
      <c r="F139" s="7"/>
      <c r="G139" s="23"/>
      <c r="H139" s="23"/>
      <c r="I139" s="23"/>
      <c r="J139" s="93"/>
      <c r="K139" s="93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39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ht="15.75" customHeight="1">
      <c r="A140" s="7"/>
      <c r="B140" s="19"/>
      <c r="C140" s="7"/>
      <c r="D140" s="7"/>
      <c r="E140" s="39"/>
      <c r="F140" s="7"/>
      <c r="G140" s="23"/>
      <c r="H140" s="23"/>
      <c r="I140" s="23"/>
      <c r="J140" s="93"/>
      <c r="K140" s="93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39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ht="15.75" customHeight="1">
      <c r="A141" s="7"/>
      <c r="B141" s="19"/>
      <c r="C141" s="7"/>
      <c r="D141" s="7"/>
      <c r="E141" s="39"/>
      <c r="F141" s="7"/>
      <c r="G141" s="23"/>
      <c r="H141" s="23"/>
      <c r="I141" s="23"/>
      <c r="J141" s="93"/>
      <c r="K141" s="93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39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ht="15.75" customHeight="1">
      <c r="A142" s="7"/>
      <c r="B142" s="19"/>
      <c r="C142" s="7"/>
      <c r="D142" s="7"/>
      <c r="E142" s="39"/>
      <c r="F142" s="7"/>
      <c r="G142" s="23"/>
      <c r="H142" s="23"/>
      <c r="I142" s="23"/>
      <c r="J142" s="93"/>
      <c r="K142" s="93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39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ht="15.75" customHeight="1">
      <c r="A143" s="7"/>
      <c r="B143" s="19"/>
      <c r="C143" s="7"/>
      <c r="D143" s="7"/>
      <c r="E143" s="39"/>
      <c r="F143" s="7"/>
      <c r="G143" s="23"/>
      <c r="H143" s="23"/>
      <c r="I143" s="23"/>
      <c r="J143" s="93"/>
      <c r="K143" s="93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39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ht="15.75" customHeight="1">
      <c r="A144" s="7"/>
      <c r="B144" s="19"/>
      <c r="C144" s="7"/>
      <c r="D144" s="7"/>
      <c r="E144" s="39"/>
      <c r="F144" s="7"/>
      <c r="G144" s="23"/>
      <c r="H144" s="23"/>
      <c r="I144" s="23"/>
      <c r="J144" s="93"/>
      <c r="K144" s="93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39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ht="15.75" customHeight="1">
      <c r="A145" s="7"/>
      <c r="B145" s="19"/>
      <c r="C145" s="7"/>
      <c r="D145" s="7"/>
      <c r="E145" s="39"/>
      <c r="F145" s="7"/>
      <c r="G145" s="23"/>
      <c r="H145" s="23"/>
      <c r="I145" s="23"/>
      <c r="J145" s="93"/>
      <c r="K145" s="93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39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ht="15.75" customHeight="1">
      <c r="A146" s="7"/>
      <c r="B146" s="19"/>
      <c r="C146" s="7"/>
      <c r="D146" s="7"/>
      <c r="E146" s="39"/>
      <c r="F146" s="7"/>
      <c r="G146" s="23"/>
      <c r="H146" s="23"/>
      <c r="I146" s="23"/>
      <c r="J146" s="93"/>
      <c r="K146" s="93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39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ht="15.75" customHeight="1">
      <c r="A147" s="7"/>
      <c r="B147" s="19"/>
      <c r="C147" s="7"/>
      <c r="D147" s="7"/>
      <c r="E147" s="39"/>
      <c r="F147" s="7"/>
      <c r="G147" s="23"/>
      <c r="H147" s="23"/>
      <c r="I147" s="23"/>
      <c r="J147" s="93"/>
      <c r="K147" s="93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39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ht="15.75" customHeight="1">
      <c r="A148" s="7"/>
      <c r="B148" s="19"/>
      <c r="C148" s="7"/>
      <c r="D148" s="7"/>
      <c r="E148" s="39"/>
      <c r="F148" s="7"/>
      <c r="G148" s="23"/>
      <c r="H148" s="23"/>
      <c r="I148" s="23"/>
      <c r="J148" s="93"/>
      <c r="K148" s="93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39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ht="15.75" customHeight="1">
      <c r="A149" s="7"/>
      <c r="B149" s="19"/>
      <c r="C149" s="7"/>
      <c r="D149" s="7"/>
      <c r="E149" s="39"/>
      <c r="F149" s="7"/>
      <c r="G149" s="23"/>
      <c r="H149" s="23"/>
      <c r="I149" s="23"/>
      <c r="J149" s="93"/>
      <c r="K149" s="93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39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ht="15.75" customHeight="1">
      <c r="A150" s="7"/>
      <c r="B150" s="19"/>
      <c r="C150" s="7"/>
      <c r="D150" s="7"/>
      <c r="E150" s="39"/>
      <c r="F150" s="7"/>
      <c r="G150" s="23"/>
      <c r="H150" s="23"/>
      <c r="I150" s="23"/>
      <c r="J150" s="93"/>
      <c r="K150" s="93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39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ht="15.75" customHeight="1">
      <c r="A151" s="7"/>
      <c r="B151" s="19"/>
      <c r="C151" s="7"/>
      <c r="D151" s="7"/>
      <c r="E151" s="39"/>
      <c r="F151" s="7"/>
      <c r="G151" s="23"/>
      <c r="H151" s="23"/>
      <c r="I151" s="23"/>
      <c r="J151" s="93"/>
      <c r="K151" s="93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39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ht="15.75" customHeight="1">
      <c r="A152" s="7"/>
      <c r="B152" s="19"/>
      <c r="C152" s="7"/>
      <c r="D152" s="7"/>
      <c r="E152" s="39"/>
      <c r="F152" s="7"/>
      <c r="G152" s="23"/>
      <c r="H152" s="23"/>
      <c r="I152" s="23"/>
      <c r="J152" s="93"/>
      <c r="K152" s="93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39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ht="15.75" customHeight="1">
      <c r="A153" s="7"/>
      <c r="B153" s="19"/>
      <c r="C153" s="7"/>
      <c r="D153" s="7"/>
      <c r="E153" s="39"/>
      <c r="F153" s="7"/>
      <c r="G153" s="23"/>
      <c r="H153" s="23"/>
      <c r="I153" s="23"/>
      <c r="J153" s="93"/>
      <c r="K153" s="93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39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ht="15.75" customHeight="1">
      <c r="A154" s="7"/>
      <c r="B154" s="19"/>
      <c r="C154" s="7"/>
      <c r="D154" s="7"/>
      <c r="E154" s="39"/>
      <c r="F154" s="7"/>
      <c r="G154" s="23"/>
      <c r="H154" s="23"/>
      <c r="I154" s="23"/>
      <c r="J154" s="93"/>
      <c r="K154" s="93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39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ht="15.75" customHeight="1">
      <c r="A155" s="7"/>
      <c r="B155" s="19"/>
      <c r="C155" s="7"/>
      <c r="D155" s="7"/>
      <c r="E155" s="39"/>
      <c r="F155" s="7"/>
      <c r="G155" s="23"/>
      <c r="H155" s="23"/>
      <c r="I155" s="23"/>
      <c r="J155" s="93"/>
      <c r="K155" s="93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39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ht="15.75" customHeight="1">
      <c r="A156" s="7"/>
      <c r="B156" s="19"/>
      <c r="C156" s="7"/>
      <c r="D156" s="7"/>
      <c r="E156" s="39"/>
      <c r="F156" s="7"/>
      <c r="G156" s="23"/>
      <c r="H156" s="23"/>
      <c r="I156" s="23"/>
      <c r="J156" s="93"/>
      <c r="K156" s="93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39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ht="15.75" customHeight="1">
      <c r="A157" s="7"/>
      <c r="B157" s="19"/>
      <c r="C157" s="7"/>
      <c r="D157" s="7"/>
      <c r="E157" s="39"/>
      <c r="F157" s="7"/>
      <c r="G157" s="23"/>
      <c r="H157" s="23"/>
      <c r="I157" s="23"/>
      <c r="J157" s="93"/>
      <c r="K157" s="93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39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ht="15.75" customHeight="1">
      <c r="A158" s="7"/>
      <c r="B158" s="19"/>
      <c r="C158" s="7"/>
      <c r="D158" s="7"/>
      <c r="E158" s="39"/>
      <c r="F158" s="7"/>
      <c r="G158" s="23"/>
      <c r="H158" s="23"/>
      <c r="I158" s="23"/>
      <c r="J158" s="93"/>
      <c r="K158" s="93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39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ht="15.75" customHeight="1">
      <c r="A159" s="7"/>
      <c r="B159" s="19"/>
      <c r="C159" s="7"/>
      <c r="D159" s="7"/>
      <c r="E159" s="39"/>
      <c r="F159" s="7"/>
      <c r="G159" s="23"/>
      <c r="H159" s="23"/>
      <c r="I159" s="23"/>
      <c r="J159" s="93"/>
      <c r="K159" s="93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39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ht="15.75" customHeight="1">
      <c r="A160" s="7"/>
      <c r="B160" s="19"/>
      <c r="C160" s="7"/>
      <c r="D160" s="7"/>
      <c r="E160" s="39"/>
      <c r="F160" s="7"/>
      <c r="G160" s="23"/>
      <c r="H160" s="23"/>
      <c r="I160" s="23"/>
      <c r="J160" s="93"/>
      <c r="K160" s="93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39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ht="15.75" customHeight="1">
      <c r="A161" s="7"/>
      <c r="B161" s="19"/>
      <c r="C161" s="7"/>
      <c r="D161" s="7"/>
      <c r="E161" s="39"/>
      <c r="F161" s="7"/>
      <c r="G161" s="23"/>
      <c r="H161" s="23"/>
      <c r="I161" s="23"/>
      <c r="J161" s="93"/>
      <c r="K161" s="93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39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ht="15.75" customHeight="1">
      <c r="A162" s="7"/>
      <c r="B162" s="19"/>
      <c r="C162" s="7"/>
      <c r="D162" s="7"/>
      <c r="E162" s="39"/>
      <c r="F162" s="7"/>
      <c r="G162" s="23"/>
      <c r="H162" s="23"/>
      <c r="I162" s="23"/>
      <c r="J162" s="93"/>
      <c r="K162" s="93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39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ht="15.75" customHeight="1">
      <c r="A163" s="7"/>
      <c r="B163" s="19"/>
      <c r="C163" s="7"/>
      <c r="D163" s="7"/>
      <c r="E163" s="39"/>
      <c r="F163" s="7"/>
      <c r="G163" s="23"/>
      <c r="H163" s="23"/>
      <c r="I163" s="23"/>
      <c r="J163" s="93"/>
      <c r="K163" s="93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39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ht="15.75" customHeight="1">
      <c r="A164" s="7"/>
      <c r="B164" s="19"/>
      <c r="C164" s="7"/>
      <c r="D164" s="7"/>
      <c r="E164" s="39"/>
      <c r="F164" s="7"/>
      <c r="G164" s="23"/>
      <c r="H164" s="23"/>
      <c r="I164" s="23"/>
      <c r="J164" s="93"/>
      <c r="K164" s="93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39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ht="15.75" customHeight="1">
      <c r="A165" s="7"/>
      <c r="B165" s="19"/>
      <c r="C165" s="7"/>
      <c r="D165" s="7"/>
      <c r="E165" s="39"/>
      <c r="F165" s="7"/>
      <c r="G165" s="23"/>
      <c r="H165" s="23"/>
      <c r="I165" s="23"/>
      <c r="J165" s="93"/>
      <c r="K165" s="93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39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ht="15.75" customHeight="1">
      <c r="A166" s="7"/>
      <c r="B166" s="19"/>
      <c r="C166" s="7"/>
      <c r="D166" s="7"/>
      <c r="E166" s="39"/>
      <c r="F166" s="7"/>
      <c r="G166" s="23"/>
      <c r="H166" s="23"/>
      <c r="I166" s="23"/>
      <c r="J166" s="93"/>
      <c r="K166" s="93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39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ht="15.75" customHeight="1">
      <c r="A167" s="7"/>
      <c r="B167" s="19"/>
      <c r="C167" s="7"/>
      <c r="D167" s="7"/>
      <c r="E167" s="39"/>
      <c r="F167" s="7"/>
      <c r="G167" s="23"/>
      <c r="H167" s="23"/>
      <c r="I167" s="23"/>
      <c r="J167" s="93"/>
      <c r="K167" s="93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39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ht="15.75" customHeight="1">
      <c r="A168" s="7"/>
      <c r="B168" s="19"/>
      <c r="C168" s="7"/>
      <c r="D168" s="7"/>
      <c r="E168" s="39"/>
      <c r="F168" s="7"/>
      <c r="G168" s="23"/>
      <c r="H168" s="23"/>
      <c r="I168" s="23"/>
      <c r="J168" s="93"/>
      <c r="K168" s="93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39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ht="15.75" customHeight="1">
      <c r="A169" s="7"/>
      <c r="B169" s="19"/>
      <c r="C169" s="7"/>
      <c r="D169" s="7"/>
      <c r="E169" s="39"/>
      <c r="F169" s="7"/>
      <c r="G169" s="23"/>
      <c r="H169" s="23"/>
      <c r="I169" s="23"/>
      <c r="J169" s="93"/>
      <c r="K169" s="93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39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</row>
    <row r="170" ht="15.75" customHeight="1">
      <c r="A170" s="7"/>
      <c r="B170" s="19"/>
      <c r="C170" s="7"/>
      <c r="D170" s="7"/>
      <c r="E170" s="39"/>
      <c r="F170" s="7"/>
      <c r="G170" s="23"/>
      <c r="H170" s="23"/>
      <c r="I170" s="23"/>
      <c r="J170" s="93"/>
      <c r="K170" s="93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39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</row>
    <row r="171" ht="15.75" customHeight="1">
      <c r="A171" s="7"/>
      <c r="B171" s="19"/>
      <c r="C171" s="7"/>
      <c r="D171" s="7"/>
      <c r="E171" s="39"/>
      <c r="F171" s="7"/>
      <c r="G171" s="23"/>
      <c r="H171" s="23"/>
      <c r="I171" s="23"/>
      <c r="J171" s="93"/>
      <c r="K171" s="93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39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ht="15.75" customHeight="1">
      <c r="A172" s="7"/>
      <c r="B172" s="19"/>
      <c r="C172" s="7"/>
      <c r="D172" s="7"/>
      <c r="E172" s="39"/>
      <c r="F172" s="7"/>
      <c r="G172" s="23"/>
      <c r="H172" s="23"/>
      <c r="I172" s="23"/>
      <c r="J172" s="93"/>
      <c r="K172" s="93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39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ht="15.75" customHeight="1">
      <c r="A173" s="7"/>
      <c r="B173" s="19"/>
      <c r="C173" s="7"/>
      <c r="D173" s="7"/>
      <c r="E173" s="39"/>
      <c r="F173" s="7"/>
      <c r="G173" s="23"/>
      <c r="H173" s="23"/>
      <c r="I173" s="23"/>
      <c r="J173" s="93"/>
      <c r="K173" s="93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39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ht="15.75" customHeight="1">
      <c r="A174" s="7"/>
      <c r="B174" s="19"/>
      <c r="C174" s="7"/>
      <c r="D174" s="7"/>
      <c r="E174" s="39"/>
      <c r="F174" s="7"/>
      <c r="G174" s="23"/>
      <c r="H174" s="23"/>
      <c r="I174" s="23"/>
      <c r="J174" s="93"/>
      <c r="K174" s="93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39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ht="15.75" customHeight="1">
      <c r="A175" s="7"/>
      <c r="B175" s="19"/>
      <c r="C175" s="7"/>
      <c r="D175" s="7"/>
      <c r="E175" s="39"/>
      <c r="F175" s="7"/>
      <c r="G175" s="23"/>
      <c r="H175" s="23"/>
      <c r="I175" s="23"/>
      <c r="J175" s="93"/>
      <c r="K175" s="93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39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ht="15.75" customHeight="1">
      <c r="A176" s="7"/>
      <c r="B176" s="19"/>
      <c r="C176" s="7"/>
      <c r="D176" s="7"/>
      <c r="E176" s="39"/>
      <c r="F176" s="7"/>
      <c r="G176" s="23"/>
      <c r="H176" s="23"/>
      <c r="I176" s="23"/>
      <c r="J176" s="93"/>
      <c r="K176" s="93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39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ht="15.75" customHeight="1">
      <c r="A177" s="7"/>
      <c r="B177" s="19"/>
      <c r="C177" s="7"/>
      <c r="D177" s="7"/>
      <c r="E177" s="39"/>
      <c r="F177" s="7"/>
      <c r="G177" s="23"/>
      <c r="H177" s="23"/>
      <c r="I177" s="23"/>
      <c r="J177" s="93"/>
      <c r="K177" s="93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39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ht="15.75" customHeight="1">
      <c r="A178" s="7"/>
      <c r="B178" s="19"/>
      <c r="C178" s="7"/>
      <c r="D178" s="7"/>
      <c r="E178" s="39"/>
      <c r="F178" s="7"/>
      <c r="G178" s="23"/>
      <c r="H178" s="23"/>
      <c r="I178" s="23"/>
      <c r="J178" s="93"/>
      <c r="K178" s="93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39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ht="15.75" customHeight="1">
      <c r="A179" s="7"/>
      <c r="B179" s="19"/>
      <c r="C179" s="7"/>
      <c r="D179" s="7"/>
      <c r="E179" s="39"/>
      <c r="F179" s="7"/>
      <c r="G179" s="23"/>
      <c r="H179" s="23"/>
      <c r="I179" s="23"/>
      <c r="J179" s="93"/>
      <c r="K179" s="93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39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ht="15.75" customHeight="1">
      <c r="A180" s="7"/>
      <c r="B180" s="19"/>
      <c r="C180" s="7"/>
      <c r="D180" s="7"/>
      <c r="E180" s="39"/>
      <c r="F180" s="7"/>
      <c r="G180" s="23"/>
      <c r="H180" s="23"/>
      <c r="I180" s="23"/>
      <c r="J180" s="93"/>
      <c r="K180" s="93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39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ht="15.75" customHeight="1">
      <c r="A181" s="7"/>
      <c r="B181" s="19"/>
      <c r="C181" s="7"/>
      <c r="D181" s="7"/>
      <c r="E181" s="39"/>
      <c r="F181" s="7"/>
      <c r="G181" s="23"/>
      <c r="H181" s="23"/>
      <c r="I181" s="23"/>
      <c r="J181" s="93"/>
      <c r="K181" s="93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39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ht="15.75" customHeight="1">
      <c r="A182" s="7"/>
      <c r="B182" s="19"/>
      <c r="C182" s="7"/>
      <c r="D182" s="7"/>
      <c r="E182" s="39"/>
      <c r="F182" s="7"/>
      <c r="G182" s="23"/>
      <c r="H182" s="23"/>
      <c r="I182" s="23"/>
      <c r="J182" s="93"/>
      <c r="K182" s="93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39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ht="15.75" customHeight="1">
      <c r="A183" s="7"/>
      <c r="B183" s="19"/>
      <c r="C183" s="7"/>
      <c r="D183" s="7"/>
      <c r="E183" s="39"/>
      <c r="F183" s="7"/>
      <c r="G183" s="23"/>
      <c r="H183" s="23"/>
      <c r="I183" s="23"/>
      <c r="J183" s="93"/>
      <c r="K183" s="93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39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ht="15.75" customHeight="1">
      <c r="A184" s="7"/>
      <c r="B184" s="19"/>
      <c r="C184" s="7"/>
      <c r="D184" s="7"/>
      <c r="E184" s="39"/>
      <c r="F184" s="7"/>
      <c r="G184" s="23"/>
      <c r="H184" s="23"/>
      <c r="I184" s="23"/>
      <c r="J184" s="93"/>
      <c r="K184" s="93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39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ht="15.75" customHeight="1">
      <c r="A185" s="7"/>
      <c r="B185" s="19"/>
      <c r="C185" s="7"/>
      <c r="D185" s="7"/>
      <c r="E185" s="39"/>
      <c r="F185" s="7"/>
      <c r="G185" s="23"/>
      <c r="H185" s="23"/>
      <c r="I185" s="23"/>
      <c r="J185" s="93"/>
      <c r="K185" s="93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39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ht="15.75" customHeight="1">
      <c r="A186" s="7"/>
      <c r="B186" s="19"/>
      <c r="C186" s="7"/>
      <c r="D186" s="7"/>
      <c r="E186" s="39"/>
      <c r="F186" s="7"/>
      <c r="G186" s="23"/>
      <c r="H186" s="23"/>
      <c r="I186" s="23"/>
      <c r="J186" s="93"/>
      <c r="K186" s="93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39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ht="15.75" customHeight="1">
      <c r="A187" s="7"/>
      <c r="B187" s="19"/>
      <c r="C187" s="7"/>
      <c r="D187" s="7"/>
      <c r="E187" s="39"/>
      <c r="F187" s="7"/>
      <c r="G187" s="23"/>
      <c r="H187" s="23"/>
      <c r="I187" s="23"/>
      <c r="J187" s="93"/>
      <c r="K187" s="93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39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ht="15.75" customHeight="1">
      <c r="A188" s="7"/>
      <c r="B188" s="19"/>
      <c r="C188" s="7"/>
      <c r="D188" s="7"/>
      <c r="E188" s="39"/>
      <c r="F188" s="7"/>
      <c r="G188" s="23"/>
      <c r="H188" s="23"/>
      <c r="I188" s="23"/>
      <c r="J188" s="93"/>
      <c r="K188" s="93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39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ht="15.75" customHeight="1">
      <c r="A189" s="7"/>
      <c r="B189" s="19"/>
      <c r="C189" s="7"/>
      <c r="D189" s="7"/>
      <c r="E189" s="39"/>
      <c r="F189" s="7"/>
      <c r="G189" s="23"/>
      <c r="H189" s="23"/>
      <c r="I189" s="23"/>
      <c r="J189" s="93"/>
      <c r="K189" s="93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39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ht="15.75" customHeight="1">
      <c r="A190" s="7"/>
      <c r="B190" s="19"/>
      <c r="C190" s="7"/>
      <c r="D190" s="7"/>
      <c r="E190" s="39"/>
      <c r="F190" s="7"/>
      <c r="G190" s="23"/>
      <c r="H190" s="23"/>
      <c r="I190" s="23"/>
      <c r="J190" s="93"/>
      <c r="K190" s="93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39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ht="15.75" customHeight="1">
      <c r="A191" s="7"/>
      <c r="B191" s="19"/>
      <c r="C191" s="7"/>
      <c r="D191" s="7"/>
      <c r="E191" s="39"/>
      <c r="F191" s="7"/>
      <c r="G191" s="23"/>
      <c r="H191" s="23"/>
      <c r="I191" s="23"/>
      <c r="J191" s="93"/>
      <c r="K191" s="93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39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ht="15.75" customHeight="1">
      <c r="A192" s="7"/>
      <c r="B192" s="19"/>
      <c r="C192" s="7"/>
      <c r="D192" s="7"/>
      <c r="E192" s="39"/>
      <c r="F192" s="7"/>
      <c r="G192" s="23"/>
      <c r="H192" s="23"/>
      <c r="I192" s="23"/>
      <c r="J192" s="93"/>
      <c r="K192" s="93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39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ht="15.75" customHeight="1">
      <c r="A193" s="7"/>
      <c r="B193" s="19"/>
      <c r="C193" s="7"/>
      <c r="D193" s="7"/>
      <c r="E193" s="39"/>
      <c r="F193" s="7"/>
      <c r="G193" s="23"/>
      <c r="H193" s="23"/>
      <c r="I193" s="23"/>
      <c r="J193" s="93"/>
      <c r="K193" s="93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39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ht="15.75" customHeight="1">
      <c r="A194" s="7"/>
      <c r="B194" s="19"/>
      <c r="C194" s="7"/>
      <c r="D194" s="7"/>
      <c r="E194" s="39"/>
      <c r="F194" s="7"/>
      <c r="G194" s="23"/>
      <c r="H194" s="23"/>
      <c r="I194" s="23"/>
      <c r="J194" s="93"/>
      <c r="K194" s="93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39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ht="15.75" customHeight="1">
      <c r="A195" s="7"/>
      <c r="B195" s="19"/>
      <c r="C195" s="7"/>
      <c r="D195" s="7"/>
      <c r="E195" s="39"/>
      <c r="F195" s="7"/>
      <c r="G195" s="23"/>
      <c r="H195" s="23"/>
      <c r="I195" s="23"/>
      <c r="J195" s="93"/>
      <c r="K195" s="93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39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ht="15.75" customHeight="1">
      <c r="A196" s="7"/>
      <c r="B196" s="19"/>
      <c r="C196" s="7"/>
      <c r="D196" s="7"/>
      <c r="E196" s="39"/>
      <c r="F196" s="7"/>
      <c r="G196" s="23"/>
      <c r="H196" s="23"/>
      <c r="I196" s="23"/>
      <c r="J196" s="93"/>
      <c r="K196" s="93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39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ht="15.75" customHeight="1">
      <c r="A197" s="7"/>
      <c r="B197" s="19"/>
      <c r="C197" s="7"/>
      <c r="D197" s="7"/>
      <c r="E197" s="39"/>
      <c r="F197" s="7"/>
      <c r="G197" s="23"/>
      <c r="H197" s="23"/>
      <c r="I197" s="23"/>
      <c r="J197" s="93"/>
      <c r="K197" s="93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39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ht="15.75" customHeight="1">
      <c r="A198" s="7"/>
      <c r="B198" s="19"/>
      <c r="C198" s="7"/>
      <c r="D198" s="7"/>
      <c r="E198" s="39"/>
      <c r="F198" s="7"/>
      <c r="G198" s="23"/>
      <c r="H198" s="23"/>
      <c r="I198" s="23"/>
      <c r="J198" s="93"/>
      <c r="K198" s="93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39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ht="15.75" customHeight="1">
      <c r="A199" s="7"/>
      <c r="B199" s="19"/>
      <c r="C199" s="7"/>
      <c r="D199" s="7"/>
      <c r="E199" s="39"/>
      <c r="F199" s="7"/>
      <c r="G199" s="23"/>
      <c r="H199" s="23"/>
      <c r="I199" s="23"/>
      <c r="J199" s="93"/>
      <c r="K199" s="93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39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ht="15.75" customHeight="1">
      <c r="A200" s="7"/>
      <c r="B200" s="19"/>
      <c r="C200" s="7"/>
      <c r="D200" s="7"/>
      <c r="E200" s="39"/>
      <c r="F200" s="7"/>
      <c r="G200" s="23"/>
      <c r="H200" s="23"/>
      <c r="I200" s="23"/>
      <c r="J200" s="93"/>
      <c r="K200" s="93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39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ht="15.75" customHeight="1">
      <c r="A201" s="7"/>
      <c r="B201" s="19"/>
      <c r="C201" s="7"/>
      <c r="D201" s="7"/>
      <c r="E201" s="39"/>
      <c r="F201" s="7"/>
      <c r="G201" s="23"/>
      <c r="H201" s="23"/>
      <c r="I201" s="23"/>
      <c r="J201" s="93"/>
      <c r="K201" s="93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39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ht="15.75" customHeight="1">
      <c r="A202" s="7"/>
      <c r="B202" s="19"/>
      <c r="C202" s="7"/>
      <c r="D202" s="7"/>
      <c r="E202" s="39"/>
      <c r="F202" s="7"/>
      <c r="G202" s="23"/>
      <c r="H202" s="23"/>
      <c r="I202" s="23"/>
      <c r="J202" s="93"/>
      <c r="K202" s="93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39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ht="15.75" customHeight="1">
      <c r="A203" s="7"/>
      <c r="B203" s="19"/>
      <c r="C203" s="7"/>
      <c r="D203" s="7"/>
      <c r="E203" s="39"/>
      <c r="F203" s="7"/>
      <c r="G203" s="23"/>
      <c r="H203" s="23"/>
      <c r="I203" s="23"/>
      <c r="J203" s="93"/>
      <c r="K203" s="93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39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ht="15.75" customHeight="1">
      <c r="A204" s="7"/>
      <c r="B204" s="19"/>
      <c r="C204" s="7"/>
      <c r="D204" s="7"/>
      <c r="E204" s="39"/>
      <c r="F204" s="7"/>
      <c r="G204" s="23"/>
      <c r="H204" s="23"/>
      <c r="I204" s="23"/>
      <c r="J204" s="93"/>
      <c r="K204" s="93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39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ht="15.75" customHeight="1">
      <c r="A205" s="7"/>
      <c r="B205" s="19"/>
      <c r="C205" s="7"/>
      <c r="D205" s="7"/>
      <c r="E205" s="39"/>
      <c r="F205" s="7"/>
      <c r="G205" s="23"/>
      <c r="H205" s="23"/>
      <c r="I205" s="23"/>
      <c r="J205" s="93"/>
      <c r="K205" s="93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39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ht="15.75" customHeight="1">
      <c r="A206" s="7"/>
      <c r="B206" s="19"/>
      <c r="C206" s="7"/>
      <c r="D206" s="7"/>
      <c r="E206" s="39"/>
      <c r="F206" s="7"/>
      <c r="G206" s="23"/>
      <c r="H206" s="23"/>
      <c r="I206" s="23"/>
      <c r="J206" s="93"/>
      <c r="K206" s="93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39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ht="15.75" customHeight="1">
      <c r="A207" s="7"/>
      <c r="B207" s="19"/>
      <c r="C207" s="7"/>
      <c r="D207" s="7"/>
      <c r="E207" s="39"/>
      <c r="F207" s="7"/>
      <c r="G207" s="23"/>
      <c r="H207" s="23"/>
      <c r="I207" s="23"/>
      <c r="J207" s="93"/>
      <c r="K207" s="93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39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ht="15.75" customHeight="1">
      <c r="A208" s="7"/>
      <c r="B208" s="19"/>
      <c r="C208" s="7"/>
      <c r="D208" s="7"/>
      <c r="E208" s="39"/>
      <c r="F208" s="7"/>
      <c r="G208" s="23"/>
      <c r="H208" s="23"/>
      <c r="I208" s="23"/>
      <c r="J208" s="93"/>
      <c r="K208" s="93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39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ht="15.75" customHeight="1">
      <c r="A209" s="7"/>
      <c r="B209" s="19"/>
      <c r="C209" s="7"/>
      <c r="D209" s="7"/>
      <c r="E209" s="39"/>
      <c r="F209" s="7"/>
      <c r="G209" s="23"/>
      <c r="H209" s="23"/>
      <c r="I209" s="23"/>
      <c r="J209" s="93"/>
      <c r="K209" s="93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39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ht="15.75" customHeight="1">
      <c r="A210" s="7"/>
      <c r="B210" s="19"/>
      <c r="C210" s="7"/>
      <c r="D210" s="7"/>
      <c r="E210" s="39"/>
      <c r="F210" s="7"/>
      <c r="G210" s="23"/>
      <c r="H210" s="23"/>
      <c r="I210" s="23"/>
      <c r="J210" s="93"/>
      <c r="K210" s="93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39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ht="15.75" customHeight="1">
      <c r="A211" s="7"/>
      <c r="B211" s="19"/>
      <c r="C211" s="7"/>
      <c r="D211" s="7"/>
      <c r="E211" s="39"/>
      <c r="F211" s="7"/>
      <c r="G211" s="23"/>
      <c r="H211" s="23"/>
      <c r="I211" s="23"/>
      <c r="J211" s="93"/>
      <c r="K211" s="93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39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ht="15.75" customHeight="1">
      <c r="A212" s="7"/>
      <c r="B212" s="19"/>
      <c r="C212" s="7"/>
      <c r="D212" s="7"/>
      <c r="E212" s="39"/>
      <c r="F212" s="7"/>
      <c r="G212" s="23"/>
      <c r="H212" s="23"/>
      <c r="I212" s="23"/>
      <c r="J212" s="93"/>
      <c r="K212" s="93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39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ht="15.75" customHeight="1">
      <c r="A213" s="7"/>
      <c r="B213" s="19"/>
      <c r="C213" s="7"/>
      <c r="D213" s="7"/>
      <c r="E213" s="39"/>
      <c r="F213" s="7"/>
      <c r="G213" s="23"/>
      <c r="H213" s="23"/>
      <c r="I213" s="23"/>
      <c r="J213" s="93"/>
      <c r="K213" s="93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39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ht="15.75" customHeight="1">
      <c r="A214" s="7"/>
      <c r="B214" s="19"/>
      <c r="C214" s="7"/>
      <c r="D214" s="7"/>
      <c r="E214" s="39"/>
      <c r="F214" s="7"/>
      <c r="G214" s="23"/>
      <c r="H214" s="23"/>
      <c r="I214" s="23"/>
      <c r="J214" s="93"/>
      <c r="K214" s="93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39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ht="15.75" customHeight="1">
      <c r="A215" s="7"/>
      <c r="B215" s="19"/>
      <c r="C215" s="7"/>
      <c r="D215" s="7"/>
      <c r="E215" s="39"/>
      <c r="F215" s="7"/>
      <c r="G215" s="23"/>
      <c r="H215" s="23"/>
      <c r="I215" s="23"/>
      <c r="J215" s="93"/>
      <c r="K215" s="93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39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ht="15.75" customHeight="1">
      <c r="A216" s="7"/>
      <c r="B216" s="19"/>
      <c r="C216" s="7"/>
      <c r="D216" s="7"/>
      <c r="E216" s="39"/>
      <c r="F216" s="7"/>
      <c r="G216" s="23"/>
      <c r="H216" s="23"/>
      <c r="I216" s="23"/>
      <c r="J216" s="93"/>
      <c r="K216" s="93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39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ht="15.75" customHeight="1">
      <c r="A217" s="7"/>
      <c r="B217" s="19"/>
      <c r="C217" s="7"/>
      <c r="D217" s="7"/>
      <c r="E217" s="39"/>
      <c r="F217" s="7"/>
      <c r="G217" s="23"/>
      <c r="H217" s="23"/>
      <c r="I217" s="23"/>
      <c r="J217" s="93"/>
      <c r="K217" s="93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39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ht="15.75" customHeight="1">
      <c r="A218" s="7"/>
      <c r="B218" s="19"/>
      <c r="C218" s="7"/>
      <c r="D218" s="7"/>
      <c r="E218" s="39"/>
      <c r="F218" s="7"/>
      <c r="G218" s="23"/>
      <c r="H218" s="23"/>
      <c r="I218" s="23"/>
      <c r="J218" s="93"/>
      <c r="K218" s="93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39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ht="15.75" customHeight="1">
      <c r="A219" s="7"/>
      <c r="B219" s="19"/>
      <c r="C219" s="7"/>
      <c r="D219" s="7"/>
      <c r="E219" s="39"/>
      <c r="F219" s="7"/>
      <c r="G219" s="23"/>
      <c r="H219" s="23"/>
      <c r="I219" s="23"/>
      <c r="J219" s="93"/>
      <c r="K219" s="93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39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ht="15.75" customHeight="1">
      <c r="A220" s="7"/>
      <c r="B220" s="19"/>
      <c r="C220" s="7"/>
      <c r="D220" s="7"/>
      <c r="E220" s="39"/>
      <c r="F220" s="7"/>
      <c r="G220" s="23"/>
      <c r="H220" s="23"/>
      <c r="I220" s="23"/>
      <c r="J220" s="93"/>
      <c r="K220" s="93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39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ht="15.75" customHeight="1">
      <c r="A221" s="7"/>
      <c r="B221" s="19"/>
      <c r="C221" s="7"/>
      <c r="D221" s="7"/>
      <c r="E221" s="39"/>
      <c r="F221" s="7"/>
      <c r="G221" s="23"/>
      <c r="H221" s="23"/>
      <c r="I221" s="23"/>
      <c r="J221" s="93"/>
      <c r="K221" s="93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39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ht="15.75" customHeight="1">
      <c r="A222" s="7"/>
      <c r="B222" s="19"/>
      <c r="C222" s="7"/>
      <c r="D222" s="7"/>
      <c r="E222" s="39"/>
      <c r="F222" s="7"/>
      <c r="G222" s="23"/>
      <c r="H222" s="23"/>
      <c r="I222" s="23"/>
      <c r="J222" s="93"/>
      <c r="K222" s="93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39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ht="15.75" customHeight="1">
      <c r="A223" s="7"/>
      <c r="B223" s="19"/>
      <c r="C223" s="7"/>
      <c r="D223" s="7"/>
      <c r="E223" s="39"/>
      <c r="F223" s="7"/>
      <c r="G223" s="23"/>
      <c r="H223" s="23"/>
      <c r="I223" s="23"/>
      <c r="J223" s="93"/>
      <c r="K223" s="93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39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ht="15.75" customHeight="1">
      <c r="A224" s="7"/>
      <c r="B224" s="19"/>
      <c r="C224" s="7"/>
      <c r="D224" s="7"/>
      <c r="E224" s="39"/>
      <c r="F224" s="7"/>
      <c r="G224" s="23"/>
      <c r="H224" s="23"/>
      <c r="I224" s="23"/>
      <c r="J224" s="93"/>
      <c r="K224" s="93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39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ht="15.75" customHeight="1">
      <c r="A225" s="7"/>
      <c r="B225" s="19"/>
      <c r="C225" s="7"/>
      <c r="D225" s="7"/>
      <c r="E225" s="39"/>
      <c r="F225" s="7"/>
      <c r="G225" s="23"/>
      <c r="H225" s="23"/>
      <c r="I225" s="23"/>
      <c r="J225" s="93"/>
      <c r="K225" s="93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39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ht="15.75" customHeight="1">
      <c r="A226" s="7"/>
      <c r="B226" s="95"/>
      <c r="C226" s="7"/>
      <c r="D226" s="7"/>
      <c r="E226" s="7"/>
      <c r="F226" s="7"/>
      <c r="G226" s="23"/>
      <c r="H226" s="23"/>
      <c r="I226" s="23"/>
      <c r="J226" s="23"/>
      <c r="K226" s="23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ht="15.75" customHeight="1">
      <c r="A227" s="7"/>
      <c r="B227" s="95"/>
      <c r="C227" s="7"/>
      <c r="D227" s="7"/>
      <c r="E227" s="7"/>
      <c r="F227" s="7"/>
      <c r="G227" s="23"/>
      <c r="H227" s="23"/>
      <c r="I227" s="23"/>
      <c r="J227" s="23"/>
      <c r="K227" s="23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ht="15.75" customHeight="1">
      <c r="A228" s="7"/>
      <c r="B228" s="95"/>
      <c r="C228" s="7"/>
      <c r="D228" s="7"/>
      <c r="E228" s="7"/>
      <c r="F228" s="7"/>
      <c r="G228" s="23"/>
      <c r="H228" s="23"/>
      <c r="I228" s="23"/>
      <c r="J228" s="23"/>
      <c r="K228" s="23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ht="15.75" customHeight="1">
      <c r="A229" s="7"/>
      <c r="B229" s="95"/>
      <c r="C229" s="7"/>
      <c r="D229" s="7"/>
      <c r="E229" s="7"/>
      <c r="F229" s="7"/>
      <c r="G229" s="23"/>
      <c r="H229" s="23"/>
      <c r="I229" s="23"/>
      <c r="J229" s="23"/>
      <c r="K229" s="23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ht="15.75" customHeight="1">
      <c r="A230" s="7"/>
      <c r="B230" s="95"/>
      <c r="C230" s="7"/>
      <c r="D230" s="7"/>
      <c r="E230" s="7"/>
      <c r="F230" s="7"/>
      <c r="G230" s="23"/>
      <c r="H230" s="23"/>
      <c r="I230" s="23"/>
      <c r="J230" s="23"/>
      <c r="K230" s="23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ht="15.75" customHeight="1">
      <c r="A231" s="7"/>
      <c r="B231" s="95"/>
      <c r="C231" s="7"/>
      <c r="D231" s="7"/>
      <c r="E231" s="7"/>
      <c r="F231" s="7"/>
      <c r="G231" s="23"/>
      <c r="H231" s="23"/>
      <c r="I231" s="23"/>
      <c r="J231" s="23"/>
      <c r="K231" s="23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ht="15.75" customHeight="1">
      <c r="A232" s="7"/>
      <c r="B232" s="95"/>
      <c r="C232" s="7"/>
      <c r="D232" s="7"/>
      <c r="E232" s="7"/>
      <c r="F232" s="7"/>
      <c r="G232" s="23"/>
      <c r="H232" s="23"/>
      <c r="I232" s="23"/>
      <c r="J232" s="23"/>
      <c r="K232" s="23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ht="15.75" customHeight="1">
      <c r="A233" s="7"/>
      <c r="B233" s="95"/>
      <c r="C233" s="7"/>
      <c r="D233" s="7"/>
      <c r="E233" s="7"/>
      <c r="F233" s="7"/>
      <c r="G233" s="23"/>
      <c r="H233" s="23"/>
      <c r="I233" s="23"/>
      <c r="J233" s="23"/>
      <c r="K233" s="23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ht="15.75" customHeight="1">
      <c r="A234" s="7"/>
      <c r="B234" s="95"/>
      <c r="C234" s="7"/>
      <c r="D234" s="7"/>
      <c r="E234" s="7"/>
      <c r="F234" s="7"/>
      <c r="G234" s="23"/>
      <c r="H234" s="23"/>
      <c r="I234" s="23"/>
      <c r="J234" s="23"/>
      <c r="K234" s="23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ht="15.75" customHeight="1">
      <c r="A235" s="7"/>
      <c r="B235" s="95"/>
      <c r="C235" s="7"/>
      <c r="D235" s="7"/>
      <c r="E235" s="7"/>
      <c r="F235" s="7"/>
      <c r="G235" s="23"/>
      <c r="H235" s="23"/>
      <c r="I235" s="23"/>
      <c r="J235" s="23"/>
      <c r="K235" s="23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ht="15.75" customHeight="1">
      <c r="A236" s="7"/>
      <c r="B236" s="95"/>
      <c r="C236" s="7"/>
      <c r="D236" s="7"/>
      <c r="E236" s="7"/>
      <c r="F236" s="7"/>
      <c r="G236" s="23"/>
      <c r="H236" s="23"/>
      <c r="I236" s="23"/>
      <c r="J236" s="23"/>
      <c r="K236" s="23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ht="15.75" customHeight="1">
      <c r="A237" s="7"/>
      <c r="B237" s="95"/>
      <c r="C237" s="7"/>
      <c r="D237" s="7"/>
      <c r="E237" s="7"/>
      <c r="F237" s="7"/>
      <c r="G237" s="23"/>
      <c r="H237" s="23"/>
      <c r="I237" s="23"/>
      <c r="J237" s="23"/>
      <c r="K237" s="23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ht="15.75" customHeight="1">
      <c r="A238" s="7"/>
      <c r="B238" s="95"/>
      <c r="C238" s="7"/>
      <c r="D238" s="7"/>
      <c r="E238" s="7"/>
      <c r="F238" s="7"/>
      <c r="G238" s="23"/>
      <c r="H238" s="23"/>
      <c r="I238" s="23"/>
      <c r="J238" s="23"/>
      <c r="K238" s="23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ht="15.75" customHeight="1">
      <c r="A239" s="7"/>
      <c r="B239" s="95"/>
      <c r="C239" s="7"/>
      <c r="D239" s="7"/>
      <c r="E239" s="7"/>
      <c r="F239" s="7"/>
      <c r="G239" s="23"/>
      <c r="H239" s="23"/>
      <c r="I239" s="23"/>
      <c r="J239" s="23"/>
      <c r="K239" s="23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ht="15.75" customHeight="1">
      <c r="A240" s="7"/>
      <c r="B240" s="95"/>
      <c r="C240" s="7"/>
      <c r="D240" s="7"/>
      <c r="E240" s="7"/>
      <c r="F240" s="7"/>
      <c r="G240" s="23"/>
      <c r="H240" s="23"/>
      <c r="I240" s="23"/>
      <c r="J240" s="23"/>
      <c r="K240" s="23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ht="15.75" customHeight="1">
      <c r="A241" s="7"/>
      <c r="B241" s="95"/>
      <c r="C241" s="7"/>
      <c r="D241" s="7"/>
      <c r="E241" s="7"/>
      <c r="F241" s="7"/>
      <c r="G241" s="23"/>
      <c r="H241" s="23"/>
      <c r="I241" s="23"/>
      <c r="J241" s="23"/>
      <c r="K241" s="23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</row>
    <row r="242" ht="15.75" customHeight="1">
      <c r="A242" s="7"/>
      <c r="B242" s="95"/>
      <c r="C242" s="7"/>
      <c r="D242" s="7"/>
      <c r="E242" s="7"/>
      <c r="F242" s="7"/>
      <c r="G242" s="23"/>
      <c r="H242" s="23"/>
      <c r="I242" s="23"/>
      <c r="J242" s="23"/>
      <c r="K242" s="23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</row>
    <row r="243" ht="15.75" customHeight="1">
      <c r="A243" s="7"/>
      <c r="B243" s="95"/>
      <c r="C243" s="7"/>
      <c r="D243" s="7"/>
      <c r="E243" s="7"/>
      <c r="F243" s="7"/>
      <c r="G243" s="23"/>
      <c r="H243" s="23"/>
      <c r="I243" s="23"/>
      <c r="J243" s="23"/>
      <c r="K243" s="23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</row>
    <row r="244" ht="15.75" customHeight="1">
      <c r="A244" s="7"/>
      <c r="B244" s="95"/>
      <c r="C244" s="7"/>
      <c r="D244" s="7"/>
      <c r="E244" s="7"/>
      <c r="F244" s="7"/>
      <c r="G244" s="23"/>
      <c r="H244" s="23"/>
      <c r="I244" s="23"/>
      <c r="J244" s="23"/>
      <c r="K244" s="23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</row>
    <row r="245" ht="15.75" customHeight="1">
      <c r="A245" s="7"/>
      <c r="B245" s="95"/>
      <c r="C245" s="7"/>
      <c r="D245" s="7"/>
      <c r="E245" s="7"/>
      <c r="F245" s="7"/>
      <c r="G245" s="23"/>
      <c r="H245" s="23"/>
      <c r="I245" s="23"/>
      <c r="J245" s="23"/>
      <c r="K245" s="23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ht="15.75" customHeight="1">
      <c r="A246" s="7"/>
      <c r="B246" s="95"/>
      <c r="C246" s="7"/>
      <c r="D246" s="7"/>
      <c r="E246" s="7"/>
      <c r="F246" s="7"/>
      <c r="G246" s="23"/>
      <c r="H246" s="23"/>
      <c r="I246" s="23"/>
      <c r="J246" s="23"/>
      <c r="K246" s="23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ht="15.75" customHeight="1">
      <c r="A247" s="7"/>
      <c r="B247" s="95"/>
      <c r="C247" s="7"/>
      <c r="D247" s="7"/>
      <c r="E247" s="7"/>
      <c r="F247" s="7"/>
      <c r="G247" s="23"/>
      <c r="H247" s="23"/>
      <c r="I247" s="23"/>
      <c r="J247" s="23"/>
      <c r="K247" s="23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ht="15.75" customHeight="1">
      <c r="A248" s="7"/>
      <c r="B248" s="95"/>
      <c r="C248" s="7"/>
      <c r="D248" s="7"/>
      <c r="E248" s="7"/>
      <c r="F248" s="7"/>
      <c r="G248" s="23"/>
      <c r="H248" s="23"/>
      <c r="I248" s="23"/>
      <c r="J248" s="23"/>
      <c r="K248" s="23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ht="15.75" customHeight="1">
      <c r="A249" s="7"/>
      <c r="B249" s="95"/>
      <c r="C249" s="7"/>
      <c r="D249" s="7"/>
      <c r="E249" s="7"/>
      <c r="F249" s="7"/>
      <c r="G249" s="23"/>
      <c r="H249" s="23"/>
      <c r="I249" s="23"/>
      <c r="J249" s="23"/>
      <c r="K249" s="23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ht="15.75" customHeight="1">
      <c r="A250" s="7"/>
      <c r="B250" s="95"/>
      <c r="C250" s="7"/>
      <c r="D250" s="7"/>
      <c r="E250" s="7"/>
      <c r="F250" s="7"/>
      <c r="G250" s="23"/>
      <c r="H250" s="23"/>
      <c r="I250" s="23"/>
      <c r="J250" s="23"/>
      <c r="K250" s="23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ht="15.75" customHeight="1">
      <c r="A251" s="7"/>
      <c r="B251" s="95"/>
      <c r="C251" s="7"/>
      <c r="D251" s="7"/>
      <c r="E251" s="7"/>
      <c r="F251" s="7"/>
      <c r="G251" s="23"/>
      <c r="H251" s="23"/>
      <c r="I251" s="23"/>
      <c r="J251" s="23"/>
      <c r="K251" s="23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ht="15.75" customHeight="1">
      <c r="A252" s="7"/>
      <c r="B252" s="95"/>
      <c r="C252" s="7"/>
      <c r="D252" s="7"/>
      <c r="E252" s="7"/>
      <c r="F252" s="7"/>
      <c r="G252" s="23"/>
      <c r="H252" s="23"/>
      <c r="I252" s="23"/>
      <c r="J252" s="23"/>
      <c r="K252" s="23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ht="15.75" customHeight="1">
      <c r="A253" s="7"/>
      <c r="B253" s="95"/>
      <c r="C253" s="7"/>
      <c r="D253" s="7"/>
      <c r="E253" s="7"/>
      <c r="F253" s="7"/>
      <c r="G253" s="23"/>
      <c r="H253" s="23"/>
      <c r="I253" s="23"/>
      <c r="J253" s="23"/>
      <c r="K253" s="23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ht="15.75" customHeight="1">
      <c r="A254" s="7"/>
      <c r="B254" s="95"/>
      <c r="C254" s="7"/>
      <c r="D254" s="7"/>
      <c r="E254" s="7"/>
      <c r="F254" s="7"/>
      <c r="G254" s="23"/>
      <c r="H254" s="23"/>
      <c r="I254" s="23"/>
      <c r="J254" s="23"/>
      <c r="K254" s="23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ht="15.75" customHeight="1">
      <c r="A255" s="7"/>
      <c r="B255" s="95"/>
      <c r="C255" s="7"/>
      <c r="D255" s="7"/>
      <c r="E255" s="7"/>
      <c r="F255" s="7"/>
      <c r="G255" s="23"/>
      <c r="H255" s="23"/>
      <c r="I255" s="23"/>
      <c r="J255" s="23"/>
      <c r="K255" s="23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ht="15.75" customHeight="1">
      <c r="A256" s="7"/>
      <c r="B256" s="95"/>
      <c r="C256" s="7"/>
      <c r="D256" s="7"/>
      <c r="E256" s="7"/>
      <c r="F256" s="7"/>
      <c r="G256" s="23"/>
      <c r="H256" s="23"/>
      <c r="I256" s="23"/>
      <c r="J256" s="23"/>
      <c r="K256" s="23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ht="15.75" customHeight="1">
      <c r="A257" s="7"/>
      <c r="B257" s="95"/>
      <c r="C257" s="7"/>
      <c r="D257" s="7"/>
      <c r="E257" s="7"/>
      <c r="F257" s="7"/>
      <c r="G257" s="23"/>
      <c r="H257" s="23"/>
      <c r="I257" s="23"/>
      <c r="J257" s="23"/>
      <c r="K257" s="23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ht="15.75" customHeight="1">
      <c r="A258" s="7"/>
      <c r="B258" s="95"/>
      <c r="C258" s="7"/>
      <c r="D258" s="7"/>
      <c r="E258" s="7"/>
      <c r="F258" s="7"/>
      <c r="G258" s="23"/>
      <c r="H258" s="23"/>
      <c r="I258" s="23"/>
      <c r="J258" s="23"/>
      <c r="K258" s="23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ht="15.75" customHeight="1">
      <c r="A259" s="7"/>
      <c r="B259" s="95"/>
      <c r="C259" s="7"/>
      <c r="D259" s="7"/>
      <c r="E259" s="7"/>
      <c r="F259" s="7"/>
      <c r="G259" s="23"/>
      <c r="H259" s="23"/>
      <c r="I259" s="23"/>
      <c r="J259" s="23"/>
      <c r="K259" s="23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ht="15.75" customHeight="1">
      <c r="A260" s="7"/>
      <c r="B260" s="95"/>
      <c r="C260" s="7"/>
      <c r="D260" s="7"/>
      <c r="E260" s="7"/>
      <c r="F260" s="7"/>
      <c r="G260" s="23"/>
      <c r="H260" s="23"/>
      <c r="I260" s="23"/>
      <c r="J260" s="23"/>
      <c r="K260" s="23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ht="15.75" customHeight="1">
      <c r="A261" s="7"/>
      <c r="B261" s="95"/>
      <c r="C261" s="7"/>
      <c r="D261" s="7"/>
      <c r="E261" s="7"/>
      <c r="F261" s="7"/>
      <c r="G261" s="23"/>
      <c r="H261" s="23"/>
      <c r="I261" s="23"/>
      <c r="J261" s="23"/>
      <c r="K261" s="23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ht="15.75" customHeight="1">
      <c r="A262" s="7"/>
      <c r="B262" s="95"/>
      <c r="C262" s="7"/>
      <c r="D262" s="7"/>
      <c r="E262" s="7"/>
      <c r="F262" s="7"/>
      <c r="G262" s="23"/>
      <c r="H262" s="23"/>
      <c r="I262" s="23"/>
      <c r="J262" s="23"/>
      <c r="K262" s="23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ht="15.75" customHeight="1">
      <c r="A263" s="7"/>
      <c r="B263" s="95"/>
      <c r="C263" s="7"/>
      <c r="D263" s="7"/>
      <c r="E263" s="7"/>
      <c r="F263" s="7"/>
      <c r="G263" s="23"/>
      <c r="H263" s="23"/>
      <c r="I263" s="23"/>
      <c r="J263" s="23"/>
      <c r="K263" s="23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ht="15.75" customHeight="1">
      <c r="A264" s="7"/>
      <c r="B264" s="95"/>
      <c r="C264" s="7"/>
      <c r="D264" s="7"/>
      <c r="E264" s="7"/>
      <c r="F264" s="7"/>
      <c r="G264" s="23"/>
      <c r="H264" s="23"/>
      <c r="I264" s="23"/>
      <c r="J264" s="23"/>
      <c r="K264" s="23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ht="15.75" customHeight="1">
      <c r="A265" s="7"/>
      <c r="B265" s="95"/>
      <c r="C265" s="7"/>
      <c r="D265" s="7"/>
      <c r="E265" s="7"/>
      <c r="F265" s="7"/>
      <c r="G265" s="23"/>
      <c r="H265" s="23"/>
      <c r="I265" s="23"/>
      <c r="J265" s="23"/>
      <c r="K265" s="23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ht="15.75" customHeight="1">
      <c r="A266" s="7"/>
      <c r="B266" s="95"/>
      <c r="C266" s="7"/>
      <c r="D266" s="7"/>
      <c r="E266" s="7"/>
      <c r="F266" s="7"/>
      <c r="G266" s="23"/>
      <c r="H266" s="23"/>
      <c r="I266" s="23"/>
      <c r="J266" s="23"/>
      <c r="K266" s="23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ht="15.75" customHeight="1">
      <c r="A267" s="7"/>
      <c r="B267" s="95"/>
      <c r="C267" s="7"/>
      <c r="D267" s="7"/>
      <c r="E267" s="7"/>
      <c r="F267" s="7"/>
      <c r="G267" s="23"/>
      <c r="H267" s="23"/>
      <c r="I267" s="23"/>
      <c r="J267" s="23"/>
      <c r="K267" s="23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ht="15.75" customHeight="1">
      <c r="A268" s="7"/>
      <c r="B268" s="95"/>
      <c r="C268" s="7"/>
      <c r="D268" s="7"/>
      <c r="E268" s="7"/>
      <c r="F268" s="7"/>
      <c r="G268" s="23"/>
      <c r="H268" s="23"/>
      <c r="I268" s="23"/>
      <c r="J268" s="23"/>
      <c r="K268" s="23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ht="15.75" customHeight="1">
      <c r="A269" s="7"/>
      <c r="B269" s="95"/>
      <c r="C269" s="7"/>
      <c r="D269" s="7"/>
      <c r="E269" s="7"/>
      <c r="F269" s="7"/>
      <c r="G269" s="23"/>
      <c r="H269" s="23"/>
      <c r="I269" s="23"/>
      <c r="J269" s="23"/>
      <c r="K269" s="23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ht="15.75" customHeight="1">
      <c r="A270" s="7"/>
      <c r="B270" s="95"/>
      <c r="C270" s="7"/>
      <c r="D270" s="7"/>
      <c r="E270" s="7"/>
      <c r="F270" s="7"/>
      <c r="G270" s="23"/>
      <c r="H270" s="23"/>
      <c r="I270" s="23"/>
      <c r="J270" s="23"/>
      <c r="K270" s="23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ht="15.75" customHeight="1">
      <c r="A271" s="7"/>
      <c r="B271" s="95"/>
      <c r="C271" s="7"/>
      <c r="D271" s="7"/>
      <c r="E271" s="7"/>
      <c r="F271" s="7"/>
      <c r="G271" s="23"/>
      <c r="H271" s="23"/>
      <c r="I271" s="23"/>
      <c r="J271" s="23"/>
      <c r="K271" s="23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ht="15.75" customHeight="1">
      <c r="A272" s="7"/>
      <c r="B272" s="95"/>
      <c r="C272" s="7"/>
      <c r="D272" s="7"/>
      <c r="E272" s="7"/>
      <c r="F272" s="7"/>
      <c r="G272" s="23"/>
      <c r="H272" s="23"/>
      <c r="I272" s="23"/>
      <c r="J272" s="23"/>
      <c r="K272" s="23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ht="15.75" customHeight="1">
      <c r="A273" s="7"/>
      <c r="B273" s="95"/>
      <c r="C273" s="7"/>
      <c r="D273" s="7"/>
      <c r="E273" s="7"/>
      <c r="F273" s="7"/>
      <c r="G273" s="23"/>
      <c r="H273" s="23"/>
      <c r="I273" s="23"/>
      <c r="J273" s="23"/>
      <c r="K273" s="23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ht="15.75" customHeight="1">
      <c r="A274" s="7"/>
      <c r="B274" s="95"/>
      <c r="C274" s="7"/>
      <c r="D274" s="7"/>
      <c r="E274" s="7"/>
      <c r="F274" s="7"/>
      <c r="G274" s="23"/>
      <c r="H274" s="23"/>
      <c r="I274" s="23"/>
      <c r="J274" s="23"/>
      <c r="K274" s="23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ht="15.75" customHeight="1">
      <c r="A275" s="7"/>
      <c r="B275" s="95"/>
      <c r="C275" s="7"/>
      <c r="D275" s="7"/>
      <c r="E275" s="7"/>
      <c r="F275" s="7"/>
      <c r="G275" s="23"/>
      <c r="H275" s="23"/>
      <c r="I275" s="23"/>
      <c r="J275" s="23"/>
      <c r="K275" s="23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ht="15.75" customHeight="1">
      <c r="A276" s="7"/>
      <c r="B276" s="95"/>
      <c r="C276" s="7"/>
      <c r="D276" s="7"/>
      <c r="E276" s="7"/>
      <c r="F276" s="7"/>
      <c r="G276" s="23"/>
      <c r="H276" s="23"/>
      <c r="I276" s="23"/>
      <c r="J276" s="23"/>
      <c r="K276" s="23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ht="15.75" customHeight="1">
      <c r="A277" s="7"/>
      <c r="B277" s="95"/>
      <c r="C277" s="7"/>
      <c r="D277" s="7"/>
      <c r="E277" s="7"/>
      <c r="F277" s="7"/>
      <c r="G277" s="23"/>
      <c r="H277" s="23"/>
      <c r="I277" s="23"/>
      <c r="J277" s="23"/>
      <c r="K277" s="23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ht="15.75" customHeight="1">
      <c r="A278" s="7"/>
      <c r="B278" s="95"/>
      <c r="C278" s="7"/>
      <c r="D278" s="7"/>
      <c r="E278" s="7"/>
      <c r="F278" s="7"/>
      <c r="G278" s="23"/>
      <c r="H278" s="23"/>
      <c r="I278" s="23"/>
      <c r="J278" s="23"/>
      <c r="K278" s="23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ht="15.75" customHeight="1">
      <c r="A279" s="7"/>
      <c r="B279" s="95"/>
      <c r="C279" s="7"/>
      <c r="D279" s="7"/>
      <c r="E279" s="7"/>
      <c r="F279" s="7"/>
      <c r="G279" s="23"/>
      <c r="H279" s="23"/>
      <c r="I279" s="23"/>
      <c r="J279" s="23"/>
      <c r="K279" s="23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ht="15.75" customHeight="1">
      <c r="A280" s="7"/>
      <c r="B280" s="95"/>
      <c r="C280" s="7"/>
      <c r="D280" s="7"/>
      <c r="E280" s="7"/>
      <c r="F280" s="7"/>
      <c r="G280" s="23"/>
      <c r="H280" s="23"/>
      <c r="I280" s="23"/>
      <c r="J280" s="23"/>
      <c r="K280" s="23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ht="15.75" customHeight="1">
      <c r="A281" s="7"/>
      <c r="B281" s="95"/>
      <c r="C281" s="7"/>
      <c r="D281" s="7"/>
      <c r="E281" s="7"/>
      <c r="F281" s="7"/>
      <c r="G281" s="23"/>
      <c r="H281" s="23"/>
      <c r="I281" s="23"/>
      <c r="J281" s="23"/>
      <c r="K281" s="23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ht="15.75" customHeight="1">
      <c r="A282" s="7"/>
      <c r="B282" s="95"/>
      <c r="C282" s="7"/>
      <c r="D282" s="7"/>
      <c r="E282" s="7"/>
      <c r="F282" s="7"/>
      <c r="G282" s="23"/>
      <c r="H282" s="23"/>
      <c r="I282" s="23"/>
      <c r="J282" s="23"/>
      <c r="K282" s="23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ht="15.75" customHeight="1">
      <c r="A283" s="7"/>
      <c r="B283" s="95"/>
      <c r="C283" s="7"/>
      <c r="D283" s="7"/>
      <c r="E283" s="7"/>
      <c r="F283" s="7"/>
      <c r="G283" s="23"/>
      <c r="H283" s="23"/>
      <c r="I283" s="23"/>
      <c r="J283" s="23"/>
      <c r="K283" s="23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ht="15.75" customHeight="1">
      <c r="A284" s="7"/>
      <c r="B284" s="95"/>
      <c r="C284" s="7"/>
      <c r="D284" s="7"/>
      <c r="E284" s="7"/>
      <c r="F284" s="7"/>
      <c r="G284" s="23"/>
      <c r="H284" s="23"/>
      <c r="I284" s="23"/>
      <c r="J284" s="23"/>
      <c r="K284" s="23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ht="15.75" customHeight="1">
      <c r="A285" s="7"/>
      <c r="B285" s="95"/>
      <c r="C285" s="7"/>
      <c r="D285" s="7"/>
      <c r="E285" s="7"/>
      <c r="F285" s="7"/>
      <c r="G285" s="23"/>
      <c r="H285" s="23"/>
      <c r="I285" s="23"/>
      <c r="J285" s="23"/>
      <c r="K285" s="23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ht="15.75" customHeight="1">
      <c r="A286" s="7"/>
      <c r="B286" s="95"/>
      <c r="C286" s="7"/>
      <c r="D286" s="7"/>
      <c r="E286" s="7"/>
      <c r="F286" s="7"/>
      <c r="G286" s="23"/>
      <c r="H286" s="23"/>
      <c r="I286" s="23"/>
      <c r="J286" s="23"/>
      <c r="K286" s="23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ht="15.75" customHeight="1">
      <c r="A287" s="7"/>
      <c r="B287" s="95"/>
      <c r="C287" s="7"/>
      <c r="D287" s="7"/>
      <c r="E287" s="7"/>
      <c r="F287" s="7"/>
      <c r="G287" s="23"/>
      <c r="H287" s="23"/>
      <c r="I287" s="23"/>
      <c r="J287" s="23"/>
      <c r="K287" s="23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ht="15.75" customHeight="1">
      <c r="A288" s="7"/>
      <c r="B288" s="95"/>
      <c r="C288" s="7"/>
      <c r="D288" s="7"/>
      <c r="E288" s="7"/>
      <c r="F288" s="7"/>
      <c r="G288" s="23"/>
      <c r="H288" s="23"/>
      <c r="I288" s="23"/>
      <c r="J288" s="23"/>
      <c r="K288" s="23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ht="15.75" customHeight="1">
      <c r="A289" s="7"/>
      <c r="B289" s="95"/>
      <c r="C289" s="7"/>
      <c r="D289" s="7"/>
      <c r="E289" s="7"/>
      <c r="F289" s="7"/>
      <c r="G289" s="23"/>
      <c r="H289" s="23"/>
      <c r="I289" s="23"/>
      <c r="J289" s="23"/>
      <c r="K289" s="23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ht="15.75" customHeight="1">
      <c r="A290" s="7"/>
      <c r="B290" s="95"/>
      <c r="C290" s="7"/>
      <c r="D290" s="7"/>
      <c r="E290" s="7"/>
      <c r="F290" s="7"/>
      <c r="G290" s="23"/>
      <c r="H290" s="23"/>
      <c r="I290" s="23"/>
      <c r="J290" s="23"/>
      <c r="K290" s="23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C$10:$V$76"/>
  <mergeCells count="3">
    <mergeCell ref="E3:J3"/>
    <mergeCell ref="C9:M9"/>
    <mergeCell ref="N9:V9"/>
  </mergeCells>
  <dataValidations>
    <dataValidation type="list" allowBlank="1" showErrorMessage="1" sqref="M11:M76">
      <formula1>"Selecciona...,Automatizada,Sin automatizar,No automatizable"</formula1>
    </dataValidation>
    <dataValidation type="list" allowBlank="1" showErrorMessage="1" sqref="Q11:Q76">
      <formula1>"Selecciona...,Funcional,UI,Integración,Regresión"</formula1>
    </dataValidation>
    <dataValidation type="list" allowBlank="1" showErrorMessage="1" sqref="P11:P76">
      <formula1>"Selecciona...,Manual,Automatizada"</formula1>
    </dataValidation>
    <dataValidation type="custom" allowBlank="1" showDropDown="1" sqref="R11:S76">
      <formula1>OR(NOT(ISERROR(DATEVALUE(R11))), AND(ISNUMBER(R11), LEFT(CELL("format", R11))="D"))</formula1>
    </dataValidation>
    <dataValidation type="list" allowBlank="1" showErrorMessage="1" sqref="D11:D76">
      <formula1>"Selecciona...,General,Efectivo,Tarjeta,Impresión,Configuración,PINPAD"</formula1>
    </dataValidation>
    <dataValidation type="list" allowBlank="1" showErrorMessage="1" sqref="O11:O76">
      <formula1>"Selecciona...,QA,PROD"</formula1>
    </dataValidation>
    <dataValidation type="list" allowBlank="1" showErrorMessage="1" sqref="E11:E76">
      <formula1>"Selecciona...,Transacciones,Bloqueos,PDF,Impresión Fisica,Visualización,UI"</formula1>
    </dataValidation>
    <dataValidation type="list" allowBlank="1" showErrorMessage="1" sqref="N11:N76">
      <formula1>"Si,No"</formula1>
    </dataValidation>
    <dataValidation type="list" allowBlank="1" showErrorMessage="1" sqref="T11:T76">
      <formula1>"Selecciona...,Sin Ejecutar,Pasó,Falló,Bloqueado"</formula1>
    </dataValidation>
    <dataValidation type="list" allowBlank="1" showErrorMessage="1" sqref="C11:C76">
      <formula1>"Selecciona...,Ventanilla,Totem,Kiosco,Retiros,Boton de Pago,Rompefilas"</formula1>
    </dataValidation>
    <dataValidation type="list" allowBlank="1" showErrorMessage="1" sqref="L11:L76">
      <formula1>"Selecciona...,Alta,Media,Baja"</formula1>
    </dataValidation>
  </dataValidations>
  <printOptions/>
  <pageMargins bottom="1.0" footer="0.0" header="0.0" left="0.75" right="0.75" top="1.0"/>
  <pageSetup orientation="portrait"/>
  <drawing r:id="rId1"/>
</worksheet>
</file>